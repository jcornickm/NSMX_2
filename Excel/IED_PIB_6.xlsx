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https://drpresearchcr-my.sharepoint.com/personal/jcornick_drpresearch_com/Documents/RstudioDRP/NSMX_C2/Excel/"/>
    </mc:Choice>
  </mc:AlternateContent>
  <xr:revisionPtr revIDLastSave="0" documentId="8_{BA7FECAE-2265-4C97-AE5B-45AC8E178E3D}" xr6:coauthVersionLast="47" xr6:coauthVersionMax="47" xr10:uidLastSave="{00000000-0000-0000-0000-000000000000}"/>
  <bookViews>
    <workbookView xWindow="4748" yWindow="3728" windowWidth="21600" windowHeight="11332" xr2:uid="{00000000-000D-0000-FFFF-FFFF00000000}"/>
  </bookViews>
  <sheets>
    <sheet name="IED_PIB_Trimestral" sheetId="1" r:id="rId1"/>
    <sheet name="IED_PIB_Anual" sheetId="2" r:id="rId2"/>
    <sheet name="Metodología" sheetId="4" r:id="rId3"/>
  </sheets>
  <definedNames>
    <definedName name="_ftn1" localSheetId="2">Metodología!$A$28</definedName>
    <definedName name="_ftn2" localSheetId="2">Metodología!$A$29</definedName>
    <definedName name="_ftnref1" localSheetId="2">Metodología!$A$2</definedName>
    <definedName name="_ftnref2" localSheetId="2">Metodología!$A$12</definedName>
    <definedName name="A">#N/A</definedName>
    <definedName name="A_impresión_IM" localSheetId="1">#REF!</definedName>
    <definedName name="A_impresión_IM" localSheetId="2">#REF!</definedName>
    <definedName name="A_impresión_IM">#REF!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4" i="1" l="1"/>
  <c r="E113" i="1" l="1"/>
  <c r="E115" i="1" l="1"/>
  <c r="D16" i="2" l="1"/>
  <c r="D17" i="2"/>
  <c r="D18" i="2"/>
  <c r="D19" i="2"/>
  <c r="D20" i="2"/>
  <c r="D21" i="2"/>
  <c r="D22" i="2"/>
  <c r="D23" i="2"/>
  <c r="D24" i="2"/>
  <c r="D25" i="2"/>
  <c r="D26" i="2"/>
  <c r="D27" i="2"/>
  <c r="D28" i="2"/>
  <c r="D29" i="2"/>
  <c r="D30" i="2"/>
  <c r="D31" i="2"/>
  <c r="D32" i="2"/>
  <c r="D33" i="2"/>
  <c r="D34" i="2"/>
  <c r="D15" i="2"/>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36" i="1"/>
</calcChain>
</file>

<file path=xl/sharedStrings.xml><?xml version="1.0" encoding="utf-8"?>
<sst xmlns="http://schemas.openxmlformats.org/spreadsheetml/2006/main" count="129" uniqueCount="17">
  <si>
    <t>Año</t>
  </si>
  <si>
    <t>Trimestre</t>
  </si>
  <si>
    <t>IED</t>
  </si>
  <si>
    <t>PIB</t>
  </si>
  <si>
    <t>IED/PIB</t>
  </si>
  <si>
    <t>Porcentaje</t>
  </si>
  <si>
    <t>I</t>
  </si>
  <si>
    <t>II</t>
  </si>
  <si>
    <t>III</t>
  </si>
  <si>
    <t>IV</t>
  </si>
  <si>
    <t>Fuente: Secretaría de Economía, INEGI y Banco de México.</t>
  </si>
  <si>
    <t>FLUJOS DE IED COMO PORCENTAJE DEL PRODUCTO INTERNO BRUTO TRIMESTRAL ANUALIZADO*/</t>
  </si>
  <si>
    <t>FLUJOS DE IED COMO PORCENTAJE DEL PRODUCTO INTERNO BRUTO ANUAL EN SU FORMA ANUALIZADA*/</t>
  </si>
  <si>
    <t>Millones de dólares corrientes</t>
  </si>
  <si>
    <t>*/ Con información al 31 de diciembre de 2025.</t>
  </si>
  <si>
    <t>Nota metodológica: Las cifras referentes a la IED y al PIB se presentan en dólares. La Secretaría de Economía realiza la conversión del PIB trimestral utilizando el tipo de cambio FIX publicado por el Banco de México, en promedio por cada trimestre. Asimismo, el PIB trimestral se presenta anualizada en la fuente original, por lo cual se desanualiza para dimesionar la participación del flujo trimestral de la IED.</t>
  </si>
  <si>
    <t>Nota metodológica: Las cifras referentes a la IED y al PIB se presentan en dólares. La Secretaría de Economía realiza el calculo del PIB a partir del promedio simple del PIB trimestral anualizada, expresada en dólares americanos utilizando el tipo de cambio FIX publicado por el Banco de México.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</si>
</sst>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9"/>
      <color theme="1"/>
      <name val="Arial"/>
      <family val="2"/>
    </font>
    <font>
      <sz val="12"/>
      <color theme="1"/>
      <name val="Arial"/>
      <family val="2"/>
    </font>
    <font>
      <b/>
      <sz val="18"/>
      <color theme="0"/>
      <name val="Noto Sans"/>
      <family val="2"/>
    </font>
    <font>
      <b/>
      <sz val="12"/>
      <color theme="1"/>
      <name val="Noto Sans"/>
      <family val="2"/>
    </font>
    <font>
      <sz val="12"/>
      <color theme="1"/>
      <name val="Noto Sans"/>
      <family val="2"/>
    </font>
    <font>
      <sz val="9"/>
      <color theme="1"/>
      <name val="Noto Sans"/>
      <family val="2"/>
    </font>
    <font>
      <sz val="10"/>
      <color theme="1"/>
      <name val="Noto Sans"/>
      <family val="2"/>
    </font>
    <font>
      <b/>
      <sz val="16"/>
      <color theme="0"/>
      <name val="Noto Sans"/>
      <family val="2"/>
    </font>
    <font>
      <b/>
      <sz val="14"/>
      <color theme="0"/>
      <name val="Noto Sans"/>
      <family val="2"/>
    </font>
    <font>
      <b/>
      <sz val="12"/>
      <color theme="0"/>
      <name val="Noto Sans"/>
      <family val="2"/>
    </font>
  </fonts>
  <fills count="8">
    <fill>
      <patternFill patternType="none"/>
    </fill>
    <fill>
      <patternFill patternType="gray125"/>
    </fill>
    <fill>
      <patternFill patternType="solid">
        <fgColor theme="0"/>
        <bgColor indexed="64"/>
      </patternFill>
    </fill>
    <fill>
      <patternFill patternType="solid">
        <fgColor rgb="FFD4C19C"/>
        <bgColor indexed="64"/>
      </patternFill>
    </fill>
    <fill>
      <patternFill patternType="solid">
        <fgColor rgb="FF691C3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62133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indexed="64"/>
      </right>
      <top style="thin">
        <color indexed="64"/>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right/>
      <top style="thin">
        <color indexed="64"/>
      </top>
      <bottom/>
      <diagonal/>
    </border>
  </borders>
  <cellStyleXfs count="2">
    <xf numFmtId="0" fontId="0" fillId="0" borderId="0"/>
    <xf numFmtId="0" fontId="1" fillId="0" borderId="0"/>
  </cellStyleXfs>
  <cellXfs count="84">
    <xf numFmtId="0" fontId="0" fillId="0" borderId="0" xfId="0"/>
    <xf numFmtId="0" fontId="3" fillId="2" borderId="0" xfId="1" applyFont="1" applyFill="1"/>
    <xf numFmtId="0" fontId="4" fillId="2" borderId="0" xfId="1" applyFont="1" applyFill="1"/>
    <xf numFmtId="0" fontId="4" fillId="2" borderId="0" xfId="0" applyFont="1" applyFill="1"/>
    <xf numFmtId="0" fontId="3" fillId="3" borderId="1" xfId="1" applyFont="1" applyFill="1" applyBorder="1" applyAlignment="1">
      <alignment horizontal="center" vertical="center"/>
    </xf>
    <xf numFmtId="0" fontId="4" fillId="2" borderId="0" xfId="0" applyFont="1" applyFill="1" applyAlignment="1">
      <alignment horizontal="center"/>
    </xf>
    <xf numFmtId="0" fontId="4" fillId="5" borderId="2" xfId="1" applyFont="1" applyFill="1" applyBorder="1" applyAlignment="1">
      <alignment horizontal="center"/>
    </xf>
    <xf numFmtId="164" fontId="4" fillId="5" borderId="2" xfId="1" applyNumberFormat="1" applyFont="1" applyFill="1" applyBorder="1" applyAlignment="1">
      <alignment horizontal="right"/>
    </xf>
    <xf numFmtId="165" fontId="4" fillId="5" borderId="2" xfId="1" applyNumberFormat="1" applyFont="1" applyFill="1" applyBorder="1" applyAlignment="1">
      <alignment horizontal="center"/>
    </xf>
    <xf numFmtId="0" fontId="4" fillId="5" borderId="3" xfId="1" applyFont="1" applyFill="1" applyBorder="1" applyAlignment="1">
      <alignment horizontal="center"/>
    </xf>
    <xf numFmtId="164" fontId="4" fillId="5" borderId="3" xfId="1" applyNumberFormat="1" applyFont="1" applyFill="1" applyBorder="1" applyAlignment="1">
      <alignment horizontal="right"/>
    </xf>
    <xf numFmtId="165" fontId="4" fillId="5" borderId="3" xfId="1" applyNumberFormat="1" applyFont="1" applyFill="1" applyBorder="1" applyAlignment="1">
      <alignment horizontal="center"/>
    </xf>
    <xf numFmtId="0" fontId="4" fillId="5" borderId="4" xfId="1" applyFont="1" applyFill="1" applyBorder="1" applyAlignment="1">
      <alignment horizontal="center"/>
    </xf>
    <xf numFmtId="164" fontId="4" fillId="5" borderId="4" xfId="1" applyNumberFormat="1" applyFont="1" applyFill="1" applyBorder="1" applyAlignment="1">
      <alignment horizontal="right"/>
    </xf>
    <xf numFmtId="165" fontId="4" fillId="5" borderId="4" xfId="1" applyNumberFormat="1" applyFont="1" applyFill="1" applyBorder="1" applyAlignment="1">
      <alignment horizontal="center"/>
    </xf>
    <xf numFmtId="0" fontId="4" fillId="2" borderId="2" xfId="1" applyFont="1" applyFill="1" applyBorder="1" applyAlignment="1">
      <alignment horizontal="center"/>
    </xf>
    <xf numFmtId="164" fontId="4" fillId="2" borderId="2" xfId="1" applyNumberFormat="1" applyFont="1" applyFill="1" applyBorder="1" applyAlignment="1">
      <alignment horizontal="right"/>
    </xf>
    <xf numFmtId="165" fontId="4" fillId="2" borderId="2" xfId="1" applyNumberFormat="1" applyFont="1" applyFill="1" applyBorder="1" applyAlignment="1">
      <alignment horizontal="center"/>
    </xf>
    <xf numFmtId="0" fontId="4" fillId="2" borderId="3" xfId="1" applyFont="1" applyFill="1" applyBorder="1" applyAlignment="1">
      <alignment horizontal="center"/>
    </xf>
    <xf numFmtId="164" fontId="4" fillId="2" borderId="3" xfId="1" applyNumberFormat="1" applyFont="1" applyFill="1" applyBorder="1" applyAlignment="1">
      <alignment horizontal="right"/>
    </xf>
    <xf numFmtId="165" fontId="4" fillId="2" borderId="3" xfId="1" applyNumberFormat="1" applyFont="1" applyFill="1" applyBorder="1" applyAlignment="1">
      <alignment horizontal="center"/>
    </xf>
    <xf numFmtId="0" fontId="4" fillId="2" borderId="4" xfId="1" applyFont="1" applyFill="1" applyBorder="1" applyAlignment="1">
      <alignment horizontal="center"/>
    </xf>
    <xf numFmtId="164" fontId="4" fillId="2" borderId="4" xfId="1" applyNumberFormat="1" applyFont="1" applyFill="1" applyBorder="1" applyAlignment="1">
      <alignment horizontal="right"/>
    </xf>
    <xf numFmtId="165" fontId="4" fillId="2" borderId="4" xfId="1" applyNumberFormat="1" applyFont="1" applyFill="1" applyBorder="1" applyAlignment="1">
      <alignment horizontal="center"/>
    </xf>
    <xf numFmtId="164" fontId="4" fillId="2" borderId="5" xfId="1" applyNumberFormat="1" applyFont="1" applyFill="1" applyBorder="1" applyAlignment="1">
      <alignment horizontal="right"/>
    </xf>
    <xf numFmtId="164" fontId="4" fillId="2" borderId="6" xfId="1" applyNumberFormat="1" applyFont="1" applyFill="1" applyBorder="1" applyAlignment="1">
      <alignment horizontal="right"/>
    </xf>
    <xf numFmtId="164" fontId="4" fillId="2" borderId="9" xfId="1" applyNumberFormat="1" applyFont="1" applyFill="1" applyBorder="1" applyAlignment="1">
      <alignment horizontal="right"/>
    </xf>
    <xf numFmtId="164" fontId="4" fillId="2" borderId="7" xfId="1" applyNumberFormat="1" applyFont="1" applyFill="1" applyBorder="1" applyAlignment="1">
      <alignment horizontal="right"/>
    </xf>
    <xf numFmtId="0" fontId="5" fillId="2" borderId="0" xfId="0" applyFont="1" applyFill="1"/>
    <xf numFmtId="164" fontId="4" fillId="2" borderId="10" xfId="1" applyNumberFormat="1" applyFont="1" applyFill="1" applyBorder="1" applyAlignment="1">
      <alignment horizontal="right"/>
    </xf>
    <xf numFmtId="0" fontId="6" fillId="0" borderId="0" xfId="1" applyFont="1"/>
    <xf numFmtId="0" fontId="6" fillId="2" borderId="0" xfId="1" applyFont="1" applyFill="1"/>
    <xf numFmtId="0" fontId="4" fillId="2" borderId="0" xfId="1" applyFont="1" applyFill="1" applyAlignment="1">
      <alignment horizontal="center" vertical="center"/>
    </xf>
    <xf numFmtId="0" fontId="4" fillId="2" borderId="0" xfId="1" applyFont="1" applyFill="1" applyAlignment="1">
      <alignment horizontal="center"/>
    </xf>
    <xf numFmtId="164" fontId="4" fillId="2" borderId="0" xfId="1" applyNumberFormat="1" applyFont="1" applyFill="1" applyAlignment="1">
      <alignment horizontal="right"/>
    </xf>
    <xf numFmtId="165" fontId="4" fillId="2" borderId="0" xfId="1" applyNumberFormat="1" applyFont="1" applyFill="1" applyAlignment="1">
      <alignment horizontal="center"/>
    </xf>
    <xf numFmtId="0" fontId="8" fillId="0" borderId="0" xfId="1" applyFont="1"/>
    <xf numFmtId="0" fontId="7" fillId="0" borderId="0" xfId="1" applyFont="1"/>
    <xf numFmtId="0" fontId="4" fillId="0" borderId="0" xfId="1" applyFont="1"/>
    <xf numFmtId="0" fontId="4" fillId="0" borderId="0" xfId="0" applyFont="1"/>
    <xf numFmtId="0" fontId="4" fillId="0" borderId="3" xfId="0" applyFont="1" applyBorder="1"/>
    <xf numFmtId="164" fontId="4" fillId="0" borderId="3" xfId="0" applyNumberFormat="1" applyFont="1" applyBorder="1"/>
    <xf numFmtId="164" fontId="4" fillId="0" borderId="7" xfId="0" applyNumberFormat="1" applyFont="1" applyBorder="1"/>
    <xf numFmtId="164" fontId="4" fillId="0" borderId="3" xfId="0" applyNumberFormat="1" applyFont="1" applyBorder="1" applyAlignment="1">
      <alignment horizontal="center"/>
    </xf>
    <xf numFmtId="164" fontId="4" fillId="0" borderId="4" xfId="0" applyNumberFormat="1" applyFont="1" applyBorder="1"/>
    <xf numFmtId="164" fontId="4" fillId="0" borderId="0" xfId="0" applyNumberFormat="1" applyFont="1"/>
    <xf numFmtId="0" fontId="4" fillId="6" borderId="2" xfId="0" applyFont="1" applyFill="1" applyBorder="1"/>
    <xf numFmtId="164" fontId="4" fillId="6" borderId="2" xfId="0" applyNumberFormat="1" applyFont="1" applyFill="1" applyBorder="1"/>
    <xf numFmtId="164" fontId="4" fillId="6" borderId="9" xfId="0" applyNumberFormat="1" applyFont="1" applyFill="1" applyBorder="1"/>
    <xf numFmtId="164" fontId="4" fillId="6" borderId="2" xfId="0" applyNumberFormat="1" applyFont="1" applyFill="1" applyBorder="1" applyAlignment="1">
      <alignment horizontal="center"/>
    </xf>
    <xf numFmtId="0" fontId="4" fillId="6" borderId="3" xfId="0" applyFont="1" applyFill="1" applyBorder="1"/>
    <xf numFmtId="164" fontId="4" fillId="6" borderId="3" xfId="0" applyNumberFormat="1" applyFont="1" applyFill="1" applyBorder="1"/>
    <xf numFmtId="164" fontId="4" fillId="6" borderId="7" xfId="0" applyNumberFormat="1" applyFont="1" applyFill="1" applyBorder="1"/>
    <xf numFmtId="164" fontId="4" fillId="6" borderId="3" xfId="0" applyNumberFormat="1" applyFont="1" applyFill="1" applyBorder="1" applyAlignment="1">
      <alignment horizontal="center"/>
    </xf>
    <xf numFmtId="0" fontId="9" fillId="7" borderId="15" xfId="1" applyFont="1" applyFill="1" applyBorder="1" applyAlignment="1">
      <alignment horizontal="center" vertical="center"/>
    </xf>
    <xf numFmtId="0" fontId="9" fillId="7" borderId="16" xfId="1" applyFont="1" applyFill="1" applyBorder="1" applyAlignment="1">
      <alignment horizontal="center" vertical="center"/>
    </xf>
    <xf numFmtId="0" fontId="9" fillId="7" borderId="19" xfId="1" applyFont="1" applyFill="1" applyBorder="1" applyAlignment="1">
      <alignment horizontal="center" vertical="center"/>
    </xf>
    <xf numFmtId="0" fontId="2" fillId="0" borderId="0" xfId="1" applyFont="1" applyAlignment="1">
      <alignment vertical="center"/>
    </xf>
    <xf numFmtId="164" fontId="4" fillId="0" borderId="10" xfId="0" applyNumberFormat="1" applyFont="1" applyBorder="1"/>
    <xf numFmtId="0" fontId="4" fillId="0" borderId="8" xfId="0" applyFont="1" applyBorder="1" applyAlignment="1">
      <alignment horizontal="right"/>
    </xf>
    <xf numFmtId="164" fontId="4" fillId="2" borderId="0" xfId="0" applyNumberFormat="1" applyFont="1" applyFill="1"/>
    <xf numFmtId="164" fontId="4" fillId="2" borderId="20" xfId="1" applyNumberFormat="1" applyFont="1" applyFill="1" applyBorder="1" applyAlignment="1">
      <alignment horizontal="right"/>
    </xf>
    <xf numFmtId="164" fontId="4" fillId="0" borderId="4" xfId="0" applyNumberFormat="1" applyFont="1" applyBorder="1" applyAlignment="1">
      <alignment horizontal="center"/>
    </xf>
    <xf numFmtId="0" fontId="6" fillId="2" borderId="0" xfId="1" applyFont="1" applyFill="1" applyAlignment="1">
      <alignment horizontal="left" vertical="center" wrapText="1"/>
    </xf>
    <xf numFmtId="0" fontId="2" fillId="4" borderId="0" xfId="1" applyFont="1" applyFill="1" applyAlignment="1">
      <alignment horizontal="left" vertical="center"/>
    </xf>
    <xf numFmtId="0" fontId="4" fillId="2" borderId="2" xfId="1" applyFont="1" applyFill="1" applyBorder="1" applyAlignment="1">
      <alignment horizontal="center" vertical="center"/>
    </xf>
    <xf numFmtId="0" fontId="4" fillId="2" borderId="3" xfId="1" applyFont="1" applyFill="1" applyBorder="1" applyAlignment="1">
      <alignment horizontal="center" vertical="center"/>
    </xf>
    <xf numFmtId="0" fontId="4" fillId="2" borderId="4" xfId="1" applyFont="1" applyFill="1" applyBorder="1" applyAlignment="1">
      <alignment horizontal="center" vertical="center"/>
    </xf>
    <xf numFmtId="0" fontId="4" fillId="2" borderId="1" xfId="1" applyFont="1" applyFill="1" applyBorder="1" applyAlignment="1">
      <alignment horizontal="center" vertical="center"/>
    </xf>
    <xf numFmtId="0" fontId="3" fillId="3" borderId="2" xfId="1" applyFont="1" applyFill="1" applyBorder="1" applyAlignment="1">
      <alignment horizontal="center" vertical="center"/>
    </xf>
    <xf numFmtId="0" fontId="3" fillId="3" borderId="4" xfId="1" applyFont="1" applyFill="1" applyBorder="1" applyAlignment="1">
      <alignment horizontal="center" vertical="center"/>
    </xf>
    <xf numFmtId="0" fontId="3" fillId="3" borderId="12" xfId="1" applyFont="1" applyFill="1" applyBorder="1" applyAlignment="1">
      <alignment horizontal="center" vertical="center"/>
    </xf>
    <xf numFmtId="0" fontId="3" fillId="3" borderId="13" xfId="1" applyFont="1" applyFill="1" applyBorder="1" applyAlignment="1">
      <alignment horizontal="center" vertical="center"/>
    </xf>
    <xf numFmtId="0" fontId="4" fillId="5" borderId="1" xfId="1" applyFont="1" applyFill="1" applyBorder="1" applyAlignment="1">
      <alignment horizontal="center" vertical="center"/>
    </xf>
    <xf numFmtId="0" fontId="4" fillId="2" borderId="5" xfId="1" applyFont="1" applyFill="1" applyBorder="1" applyAlignment="1">
      <alignment horizontal="center" vertical="center"/>
    </xf>
    <xf numFmtId="0" fontId="4" fillId="2" borderId="6" xfId="1" applyFont="1" applyFill="1" applyBorder="1" applyAlignment="1">
      <alignment horizontal="center" vertical="center"/>
    </xf>
    <xf numFmtId="0" fontId="4" fillId="2" borderId="11" xfId="1" applyFont="1" applyFill="1" applyBorder="1" applyAlignment="1">
      <alignment horizontal="center" vertical="center"/>
    </xf>
    <xf numFmtId="0" fontId="4" fillId="2" borderId="9" xfId="1" applyFont="1" applyFill="1" applyBorder="1" applyAlignment="1">
      <alignment horizontal="center" vertical="center"/>
    </xf>
    <xf numFmtId="0" fontId="4" fillId="2" borderId="7" xfId="1" applyFont="1" applyFill="1" applyBorder="1" applyAlignment="1">
      <alignment horizontal="center" vertical="center"/>
    </xf>
    <xf numFmtId="0" fontId="4" fillId="2" borderId="10" xfId="1" applyFont="1" applyFill="1" applyBorder="1" applyAlignment="1">
      <alignment horizontal="center" vertical="center"/>
    </xf>
    <xf numFmtId="0" fontId="9" fillId="7" borderId="14" xfId="1" applyFont="1" applyFill="1" applyBorder="1" applyAlignment="1">
      <alignment horizontal="center" vertical="center"/>
    </xf>
    <xf numFmtId="0" fontId="9" fillId="7" borderId="17" xfId="1" applyFont="1" applyFill="1" applyBorder="1" applyAlignment="1">
      <alignment horizontal="center" vertical="center"/>
    </xf>
    <xf numFmtId="0" fontId="9" fillId="7" borderId="18" xfId="1" applyFont="1" applyFill="1" applyBorder="1" applyAlignment="1">
      <alignment horizontal="center" vertical="center"/>
    </xf>
    <xf numFmtId="0" fontId="7" fillId="4" borderId="0" xfId="1" applyFont="1" applyFill="1" applyAlignment="1">
      <alignment horizontal="left" vertical="center"/>
    </xf>
  </cellXfs>
  <cellStyles count="2">
    <cellStyle name="Normal" xfId="0" builtinId="0"/>
    <cellStyle name="Normal 3" xfId="1" xr:uid="{00000000-0005-0000-0000-000001000000}"/>
  </cellStyles>
  <dxfs count="0"/>
  <tableStyles count="0" defaultTableStyle="TableStyleMedium2" defaultPivotStyle="PivotStyleLight16"/>
  <colors>
    <mruColors>
      <color rgb="FF6213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1466572550677326E-2"/>
          <c:y val="8.1390991291499931E-2"/>
          <c:w val="0.9529975185533619"/>
          <c:h val="0.77020551601873588"/>
        </c:manualLayout>
      </c:layout>
      <c:barChart>
        <c:barDir val="col"/>
        <c:grouping val="clustered"/>
        <c:varyColors val="0"/>
        <c:ser>
          <c:idx val="1"/>
          <c:order val="0"/>
          <c:spPr>
            <a:solidFill>
              <a:srgbClr val="621132"/>
            </a:solidFill>
            <a:ln>
              <a:noFill/>
            </a:ln>
            <a:effectLst>
              <a:outerShdw blurRad="57150" dist="19050" dir="5400000" algn="ctr" rotWithShape="0">
                <a:srgbClr val="000000">
                  <a:alpha val="63000"/>
                </a:srgbClr>
              </a:outerShdw>
            </a:effectLst>
            <a:scene3d>
              <a:camera prst="orthographicFront"/>
              <a:lightRig rig="threePt" dir="t"/>
            </a:scene3d>
          </c:spPr>
          <c:invertIfNegative val="0"/>
          <c:dPt>
            <c:idx val="44"/>
            <c:invertIfNegative val="0"/>
            <c:bubble3D val="0"/>
            <c:extLst>
              <c:ext xmlns:c16="http://schemas.microsoft.com/office/drawing/2014/chart" uri="{C3380CC4-5D6E-409C-BE32-E72D297353CC}">
                <c16:uniqueId val="{00000000-052B-421F-9A92-2764B71C3D7C}"/>
              </c:ext>
            </c:extLst>
          </c:dPt>
          <c:dPt>
            <c:idx val="45"/>
            <c:invertIfNegative val="0"/>
            <c:bubble3D val="0"/>
            <c:extLst>
              <c:ext xmlns:c16="http://schemas.microsoft.com/office/drawing/2014/chart" uri="{C3380CC4-5D6E-409C-BE32-E72D297353CC}">
                <c16:uniqueId val="{00000001-052B-421F-9A92-2764B71C3D7C}"/>
              </c:ext>
            </c:extLst>
          </c:dPt>
          <c:dLbls>
            <c:dLbl>
              <c:idx val="4"/>
              <c:layout>
                <c:manualLayout>
                  <c:x val="-2.9633744995440961E-3"/>
                  <c:y val="-6.0102218056602136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EFE-464F-96D4-ADC4FC6C04ED}"/>
                </c:ext>
              </c:extLst>
            </c:dLbl>
            <c:dLbl>
              <c:idx val="5"/>
              <c:layout>
                <c:manualLayout>
                  <c:x val="2.2225308746580672E-3"/>
                  <c:y val="8.195851685802736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EFE-464F-96D4-ADC4FC6C04ED}"/>
                </c:ext>
              </c:extLst>
            </c:dLbl>
            <c:dLbl>
              <c:idx val="34"/>
              <c:layout>
                <c:manualLayout>
                  <c:x val="-2.2225308746581214E-3"/>
                  <c:y val="8.195851685802736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EFE-464F-96D4-ADC4FC6C04ED}"/>
                </c:ext>
              </c:extLst>
            </c:dLbl>
            <c:dLbl>
              <c:idx val="35"/>
              <c:layout>
                <c:manualLayout>
                  <c:x val="0"/>
                  <c:y val="8.195851685802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EFE-464F-96D4-ADC4FC6C04ED}"/>
                </c:ext>
              </c:extLst>
            </c:dLbl>
            <c:dLbl>
              <c:idx val="44"/>
              <c:layout>
                <c:manualLayout>
                  <c:x val="-7.4084362488602241E-4"/>
                  <c:y val="8.195851685802736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52B-421F-9A92-2764B71C3D7C}"/>
                </c:ext>
              </c:extLst>
            </c:dLbl>
            <c:dLbl>
              <c:idx val="45"/>
              <c:layout>
                <c:manualLayout>
                  <c:x val="3.7042181244300574E-3"/>
                  <c:y val="8.195851685802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52B-421F-9A92-2764B71C3D7C}"/>
                </c:ext>
              </c:extLst>
            </c:dLbl>
            <c:dLbl>
              <c:idx val="60"/>
              <c:layout>
                <c:manualLayout>
                  <c:x val="2.5389240040071016E-3"/>
                  <c:y val="-5.8847376026406462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52B-421F-9A92-2764B71C3D7C}"/>
                </c:ext>
              </c:extLst>
            </c:dLbl>
            <c:dLbl>
              <c:idx val="87"/>
              <c:layout>
                <c:manualLayout>
                  <c:x val="8.3504819576001976E-4"/>
                  <c:y val="-1.284477344145868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52B-421F-9A92-2764B71C3D7C}"/>
                </c:ext>
              </c:extLst>
            </c:dLbl>
            <c:spPr>
              <a:noFill/>
              <a:ln w="25400">
                <a:noFill/>
              </a:ln>
            </c:spPr>
            <c:txPr>
              <a:bodyPr/>
              <a:lstStyle/>
              <a:p>
                <a:pPr>
                  <a:defRPr b="1"/>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IED_PIB_Trimestral!$A$8:$B$115</c:f>
              <c:multiLvlStrCache>
                <c:ptCount val="108"/>
                <c:lvl>
                  <c:pt idx="0">
                    <c:v>I</c:v>
                  </c:pt>
                  <c:pt idx="1">
                    <c:v>II</c:v>
                  </c:pt>
                  <c:pt idx="2">
                    <c:v>III</c:v>
                  </c:pt>
                  <c:pt idx="3">
                    <c:v>IV</c:v>
                  </c:pt>
                  <c:pt idx="4">
                    <c:v>I</c:v>
                  </c:pt>
                  <c:pt idx="5">
                    <c:v>II</c:v>
                  </c:pt>
                  <c:pt idx="6">
                    <c:v>III</c:v>
                  </c:pt>
                  <c:pt idx="7">
                    <c:v>IV</c:v>
                  </c:pt>
                  <c:pt idx="8">
                    <c:v>I</c:v>
                  </c:pt>
                  <c:pt idx="9">
                    <c:v>II</c:v>
                  </c:pt>
                  <c:pt idx="10">
                    <c:v>III</c:v>
                  </c:pt>
                  <c:pt idx="11">
                    <c:v>IV</c:v>
                  </c:pt>
                  <c:pt idx="12">
                    <c:v>I</c:v>
                  </c:pt>
                  <c:pt idx="13">
                    <c:v>II</c:v>
                  </c:pt>
                  <c:pt idx="14">
                    <c:v>III</c:v>
                  </c:pt>
                  <c:pt idx="15">
                    <c:v>IV</c:v>
                  </c:pt>
                  <c:pt idx="16">
                    <c:v>I</c:v>
                  </c:pt>
                  <c:pt idx="17">
                    <c:v>II</c:v>
                  </c:pt>
                  <c:pt idx="18">
                    <c:v>III</c:v>
                  </c:pt>
                  <c:pt idx="19">
                    <c:v>IV</c:v>
                  </c:pt>
                  <c:pt idx="20">
                    <c:v>I</c:v>
                  </c:pt>
                  <c:pt idx="21">
                    <c:v>II</c:v>
                  </c:pt>
                  <c:pt idx="22">
                    <c:v>III</c:v>
                  </c:pt>
                  <c:pt idx="23">
                    <c:v>IV</c:v>
                  </c:pt>
                  <c:pt idx="24">
                    <c:v>I</c:v>
                  </c:pt>
                  <c:pt idx="25">
                    <c:v>II</c:v>
                  </c:pt>
                  <c:pt idx="26">
                    <c:v>III</c:v>
                  </c:pt>
                  <c:pt idx="27">
                    <c:v>IV</c:v>
                  </c:pt>
                  <c:pt idx="28">
                    <c:v>I</c:v>
                  </c:pt>
                  <c:pt idx="29">
                    <c:v>II</c:v>
                  </c:pt>
                  <c:pt idx="30">
                    <c:v>III</c:v>
                  </c:pt>
                  <c:pt idx="31">
                    <c:v>IV</c:v>
                  </c:pt>
                  <c:pt idx="32">
                    <c:v>I</c:v>
                  </c:pt>
                  <c:pt idx="33">
                    <c:v>II</c:v>
                  </c:pt>
                  <c:pt idx="34">
                    <c:v>III</c:v>
                  </c:pt>
                  <c:pt idx="35">
                    <c:v>IV</c:v>
                  </c:pt>
                  <c:pt idx="36">
                    <c:v>I</c:v>
                  </c:pt>
                  <c:pt idx="37">
                    <c:v>II</c:v>
                  </c:pt>
                  <c:pt idx="38">
                    <c:v>III</c:v>
                  </c:pt>
                  <c:pt idx="39">
                    <c:v>IV</c:v>
                  </c:pt>
                  <c:pt idx="40">
                    <c:v>I</c:v>
                  </c:pt>
                  <c:pt idx="41">
                    <c:v>II</c:v>
                  </c:pt>
                  <c:pt idx="42">
                    <c:v>III</c:v>
                  </c:pt>
                  <c:pt idx="43">
                    <c:v>IV</c:v>
                  </c:pt>
                  <c:pt idx="44">
                    <c:v>I</c:v>
                  </c:pt>
                  <c:pt idx="45">
                    <c:v>II</c:v>
                  </c:pt>
                  <c:pt idx="46">
                    <c:v>III</c:v>
                  </c:pt>
                  <c:pt idx="47">
                    <c:v>IV</c:v>
                  </c:pt>
                  <c:pt idx="48">
                    <c:v>I</c:v>
                  </c:pt>
                  <c:pt idx="49">
                    <c:v>II</c:v>
                  </c:pt>
                  <c:pt idx="50">
                    <c:v>III</c:v>
                  </c:pt>
                  <c:pt idx="51">
                    <c:v>IV</c:v>
                  </c:pt>
                  <c:pt idx="52">
                    <c:v>I</c:v>
                  </c:pt>
                  <c:pt idx="53">
                    <c:v>II</c:v>
                  </c:pt>
                  <c:pt idx="54">
                    <c:v>III</c:v>
                  </c:pt>
                  <c:pt idx="55">
                    <c:v>IV</c:v>
                  </c:pt>
                  <c:pt idx="56">
                    <c:v>I</c:v>
                  </c:pt>
                  <c:pt idx="57">
                    <c:v>II</c:v>
                  </c:pt>
                  <c:pt idx="58">
                    <c:v>III</c:v>
                  </c:pt>
                  <c:pt idx="59">
                    <c:v>IV</c:v>
                  </c:pt>
                  <c:pt idx="60">
                    <c:v>I</c:v>
                  </c:pt>
                  <c:pt idx="61">
                    <c:v>II</c:v>
                  </c:pt>
                  <c:pt idx="62">
                    <c:v>III</c:v>
                  </c:pt>
                  <c:pt idx="63">
                    <c:v>IV</c:v>
                  </c:pt>
                  <c:pt idx="64">
                    <c:v>I</c:v>
                  </c:pt>
                  <c:pt idx="65">
                    <c:v>II</c:v>
                  </c:pt>
                  <c:pt idx="66">
                    <c:v>III</c:v>
                  </c:pt>
                  <c:pt idx="67">
                    <c:v>IV</c:v>
                  </c:pt>
                  <c:pt idx="68">
                    <c:v>I</c:v>
                  </c:pt>
                  <c:pt idx="69">
                    <c:v>II</c:v>
                  </c:pt>
                  <c:pt idx="70">
                    <c:v>III</c:v>
                  </c:pt>
                  <c:pt idx="71">
                    <c:v>IV</c:v>
                  </c:pt>
                  <c:pt idx="72">
                    <c:v>I</c:v>
                  </c:pt>
                  <c:pt idx="73">
                    <c:v>II</c:v>
                  </c:pt>
                  <c:pt idx="74">
                    <c:v>III</c:v>
                  </c:pt>
                  <c:pt idx="75">
                    <c:v>IV</c:v>
                  </c:pt>
                  <c:pt idx="76">
                    <c:v>I</c:v>
                  </c:pt>
                  <c:pt idx="77">
                    <c:v>II</c:v>
                  </c:pt>
                  <c:pt idx="78">
                    <c:v>III</c:v>
                  </c:pt>
                  <c:pt idx="79">
                    <c:v>IV</c:v>
                  </c:pt>
                  <c:pt idx="80">
                    <c:v>I</c:v>
                  </c:pt>
                  <c:pt idx="81">
                    <c:v>II</c:v>
                  </c:pt>
                  <c:pt idx="82">
                    <c:v>III</c:v>
                  </c:pt>
                  <c:pt idx="83">
                    <c:v>IV</c:v>
                  </c:pt>
                  <c:pt idx="84">
                    <c:v>I</c:v>
                  </c:pt>
                  <c:pt idx="85">
                    <c:v>II</c:v>
                  </c:pt>
                  <c:pt idx="86">
                    <c:v>III</c:v>
                  </c:pt>
                  <c:pt idx="87">
                    <c:v>IV</c:v>
                  </c:pt>
                  <c:pt idx="88">
                    <c:v>I</c:v>
                  </c:pt>
                  <c:pt idx="89">
                    <c:v>II</c:v>
                  </c:pt>
                  <c:pt idx="90">
                    <c:v>III</c:v>
                  </c:pt>
                  <c:pt idx="91">
                    <c:v>IV</c:v>
                  </c:pt>
                  <c:pt idx="92">
                    <c:v>I</c:v>
                  </c:pt>
                  <c:pt idx="93">
                    <c:v>II</c:v>
                  </c:pt>
                  <c:pt idx="94">
                    <c:v>III</c:v>
                  </c:pt>
                  <c:pt idx="95">
                    <c:v>IV</c:v>
                  </c:pt>
                  <c:pt idx="96">
                    <c:v>I</c:v>
                  </c:pt>
                  <c:pt idx="97">
                    <c:v>II</c:v>
                  </c:pt>
                  <c:pt idx="98">
                    <c:v>III</c:v>
                  </c:pt>
                  <c:pt idx="99">
                    <c:v>IV</c:v>
                  </c:pt>
                  <c:pt idx="100">
                    <c:v>I</c:v>
                  </c:pt>
                  <c:pt idx="101">
                    <c:v>II</c:v>
                  </c:pt>
                  <c:pt idx="102">
                    <c:v>III</c:v>
                  </c:pt>
                  <c:pt idx="103">
                    <c:v>IV</c:v>
                  </c:pt>
                  <c:pt idx="104">
                    <c:v>I</c:v>
                  </c:pt>
                  <c:pt idx="105">
                    <c:v>II</c:v>
                  </c:pt>
                  <c:pt idx="106">
                    <c:v>III</c:v>
                  </c:pt>
                  <c:pt idx="107">
                    <c:v>IV</c:v>
                  </c:pt>
                </c:lvl>
                <c:lvl>
                  <c:pt idx="0">
                    <c:v>1999</c:v>
                  </c:pt>
                  <c:pt idx="4">
                    <c:v>2000</c:v>
                  </c:pt>
                  <c:pt idx="8">
                    <c:v>2001</c:v>
                  </c:pt>
                  <c:pt idx="12">
                    <c:v>2002</c:v>
                  </c:pt>
                  <c:pt idx="16">
                    <c:v>2003</c:v>
                  </c:pt>
                  <c:pt idx="20">
                    <c:v>2004</c:v>
                  </c:pt>
                  <c:pt idx="24">
                    <c:v>2005</c:v>
                  </c:pt>
                  <c:pt idx="28">
                    <c:v>2006</c:v>
                  </c:pt>
                  <c:pt idx="32">
                    <c:v>2007</c:v>
                  </c:pt>
                  <c:pt idx="36">
                    <c:v>2008</c:v>
                  </c:pt>
                  <c:pt idx="40">
                    <c:v>2009</c:v>
                  </c:pt>
                  <c:pt idx="44">
                    <c:v>2010</c:v>
                  </c:pt>
                  <c:pt idx="48">
                    <c:v>2011</c:v>
                  </c:pt>
                  <c:pt idx="52">
                    <c:v>2012</c:v>
                  </c:pt>
                  <c:pt idx="56">
                    <c:v>2013</c:v>
                  </c:pt>
                  <c:pt idx="60">
                    <c:v>2014</c:v>
                  </c:pt>
                  <c:pt idx="64">
                    <c:v>2015</c:v>
                  </c:pt>
                  <c:pt idx="68">
                    <c:v>2016</c:v>
                  </c:pt>
                  <c:pt idx="72">
                    <c:v>2017</c:v>
                  </c:pt>
                  <c:pt idx="76">
                    <c:v>2018</c:v>
                  </c:pt>
                  <c:pt idx="80">
                    <c:v>2019</c:v>
                  </c:pt>
                  <c:pt idx="84">
                    <c:v>2020</c:v>
                  </c:pt>
                  <c:pt idx="88">
                    <c:v>2021</c:v>
                  </c:pt>
                  <c:pt idx="92">
                    <c:v>2022</c:v>
                  </c:pt>
                  <c:pt idx="96">
                    <c:v>2023</c:v>
                  </c:pt>
                  <c:pt idx="100">
                    <c:v>2024</c:v>
                  </c:pt>
                  <c:pt idx="104">
                    <c:v>2025</c:v>
                  </c:pt>
                </c:lvl>
              </c:multiLvlStrCache>
            </c:multiLvlStrRef>
          </c:cat>
          <c:val>
            <c:numRef>
              <c:f>IED_PIB_Trimestral!$E$8:$E$115</c:f>
              <c:numCache>
                <c:formatCode>0.0</c:formatCode>
                <c:ptCount val="108"/>
                <c:pt idx="0">
                  <c:v>2.5258593295886596</c:v>
                </c:pt>
                <c:pt idx="1">
                  <c:v>2.1630359205029945</c:v>
                </c:pt>
                <c:pt idx="2">
                  <c:v>1.8414013868889092</c:v>
                </c:pt>
                <c:pt idx="3">
                  <c:v>2.3368699899245193</c:v>
                </c:pt>
                <c:pt idx="4">
                  <c:v>2.5735143431031307</c:v>
                </c:pt>
                <c:pt idx="5">
                  <c:v>2.6783228985009084</c:v>
                </c:pt>
                <c:pt idx="6">
                  <c:v>1.5946137305904808</c:v>
                </c:pt>
                <c:pt idx="7">
                  <c:v>3.0179774332746079</c:v>
                </c:pt>
                <c:pt idx="8">
                  <c:v>1.9064113223131018</c:v>
                </c:pt>
                <c:pt idx="9">
                  <c:v>2.5684224566626055</c:v>
                </c:pt>
                <c:pt idx="10">
                  <c:v>8.0284711656228094</c:v>
                </c:pt>
                <c:pt idx="11">
                  <c:v>2.4403239428814305</c:v>
                </c:pt>
                <c:pt idx="12">
                  <c:v>2.5276616773789802</c:v>
                </c:pt>
                <c:pt idx="13">
                  <c:v>2.9863979526471334</c:v>
                </c:pt>
                <c:pt idx="14">
                  <c:v>3.0343447115006796</c:v>
                </c:pt>
                <c:pt idx="15">
                  <c:v>3.3482929176462872</c:v>
                </c:pt>
                <c:pt idx="16">
                  <c:v>2.1185215489408944</c:v>
                </c:pt>
                <c:pt idx="17">
                  <c:v>2.8085064787757594</c:v>
                </c:pt>
                <c:pt idx="18">
                  <c:v>1.3159076150006999</c:v>
                </c:pt>
                <c:pt idx="19">
                  <c:v>3.2816480242761283</c:v>
                </c:pt>
                <c:pt idx="20">
                  <c:v>4.710004001023921</c:v>
                </c:pt>
                <c:pt idx="21">
                  <c:v>2.1366718600650829</c:v>
                </c:pt>
                <c:pt idx="22">
                  <c:v>1.6153017042884428</c:v>
                </c:pt>
                <c:pt idx="23">
                  <c:v>3.7540100148930762</c:v>
                </c:pt>
                <c:pt idx="24">
                  <c:v>3.2001518449239894</c:v>
                </c:pt>
                <c:pt idx="25">
                  <c:v>2.954135913271474</c:v>
                </c:pt>
                <c:pt idx="26">
                  <c:v>2.3335179427548693</c:v>
                </c:pt>
                <c:pt idx="27">
                  <c:v>2.7863657970806499</c:v>
                </c:pt>
                <c:pt idx="28">
                  <c:v>2.9883739077558227</c:v>
                </c:pt>
                <c:pt idx="29">
                  <c:v>2.6433795221505445</c:v>
                </c:pt>
                <c:pt idx="30">
                  <c:v>0.91356837276417391</c:v>
                </c:pt>
                <c:pt idx="31">
                  <c:v>1.8318474431681528</c:v>
                </c:pt>
                <c:pt idx="32">
                  <c:v>4.1715025067917333</c:v>
                </c:pt>
                <c:pt idx="33">
                  <c:v>2.2204616494649341</c:v>
                </c:pt>
                <c:pt idx="34">
                  <c:v>2.7577269434835365</c:v>
                </c:pt>
                <c:pt idx="35">
                  <c:v>2.6900780231174339</c:v>
                </c:pt>
                <c:pt idx="36">
                  <c:v>3.0075200818750836</c:v>
                </c:pt>
                <c:pt idx="37">
                  <c:v>2.6362435657108847</c:v>
                </c:pt>
                <c:pt idx="38">
                  <c:v>1.7730846020731008</c:v>
                </c:pt>
                <c:pt idx="39">
                  <c:v>2.7828624268813886</c:v>
                </c:pt>
                <c:pt idx="40">
                  <c:v>2.8852047265250529</c:v>
                </c:pt>
                <c:pt idx="41">
                  <c:v>2.6035241387767836</c:v>
                </c:pt>
                <c:pt idx="42">
                  <c:v>0.98725545147189431</c:v>
                </c:pt>
                <c:pt idx="43">
                  <c:v>1.2623824809698159</c:v>
                </c:pt>
                <c:pt idx="44">
                  <c:v>3.3333286530724786</c:v>
                </c:pt>
                <c:pt idx="45">
                  <c:v>3.3775401289060367</c:v>
                </c:pt>
                <c:pt idx="46">
                  <c:v>1.4366987361327264</c:v>
                </c:pt>
                <c:pt idx="47">
                  <c:v>1.7736543735798556</c:v>
                </c:pt>
                <c:pt idx="48">
                  <c:v>2.8077110938985834</c:v>
                </c:pt>
                <c:pt idx="49">
                  <c:v>2.1050221793667707</c:v>
                </c:pt>
                <c:pt idx="50">
                  <c:v>1.3965944560278336</c:v>
                </c:pt>
                <c:pt idx="51">
                  <c:v>2.0565552014020865</c:v>
                </c:pt>
                <c:pt idx="52">
                  <c:v>2.5478012207332523</c:v>
                </c:pt>
                <c:pt idx="53">
                  <c:v>1.8622898419058689</c:v>
                </c:pt>
                <c:pt idx="54">
                  <c:v>1.8225696077024438</c:v>
                </c:pt>
                <c:pt idx="55">
                  <c:v>0.7648295107672205</c:v>
                </c:pt>
                <c:pt idx="56">
                  <c:v>3.2586207446637503</c:v>
                </c:pt>
                <c:pt idx="57">
                  <c:v>6.2279120498550986</c:v>
                </c:pt>
                <c:pt idx="58">
                  <c:v>1.2710058259046901</c:v>
                </c:pt>
                <c:pt idx="59">
                  <c:v>3.7332160498972096</c:v>
                </c:pt>
                <c:pt idx="60">
                  <c:v>4.2051824314958184</c:v>
                </c:pt>
                <c:pt idx="61">
                  <c:v>1.5785984717337178</c:v>
                </c:pt>
                <c:pt idx="62">
                  <c:v>0.92797177696622968</c:v>
                </c:pt>
                <c:pt idx="63">
                  <c:v>2.2973893025055725</c:v>
                </c:pt>
                <c:pt idx="64">
                  <c:v>3.9461340372181639</c:v>
                </c:pt>
                <c:pt idx="65">
                  <c:v>2.1385138807757871</c:v>
                </c:pt>
                <c:pt idx="66">
                  <c:v>3.2527192198171804</c:v>
                </c:pt>
                <c:pt idx="67">
                  <c:v>2.5234061795955798</c:v>
                </c:pt>
                <c:pt idx="68">
                  <c:v>4.7352037364967261</c:v>
                </c:pt>
                <c:pt idx="69">
                  <c:v>2.188285371155982</c:v>
                </c:pt>
                <c:pt idx="70">
                  <c:v>1.548450971766242</c:v>
                </c:pt>
                <c:pt idx="71">
                  <c:v>2.831843721828796</c:v>
                </c:pt>
                <c:pt idx="72">
                  <c:v>5.1108548975262238</c:v>
                </c:pt>
                <c:pt idx="73">
                  <c:v>2.2690731542902314</c:v>
                </c:pt>
                <c:pt idx="74">
                  <c:v>2.0224787220444509</c:v>
                </c:pt>
                <c:pt idx="75">
                  <c:v>2.2848232829078423</c:v>
                </c:pt>
                <c:pt idx="76">
                  <c:v>4.5506378635995981</c:v>
                </c:pt>
                <c:pt idx="77">
                  <c:v>3.0845985212547342</c:v>
                </c:pt>
                <c:pt idx="78">
                  <c:v>1.2918882360039838</c:v>
                </c:pt>
                <c:pt idx="79">
                  <c:v>1.9945104304954209</c:v>
                </c:pt>
                <c:pt idx="80">
                  <c:v>4.7611120116757428</c:v>
                </c:pt>
                <c:pt idx="81">
                  <c:v>1.9883347507070925</c:v>
                </c:pt>
                <c:pt idx="82">
                  <c:v>2.536631234263548</c:v>
                </c:pt>
                <c:pt idx="83">
                  <c:v>1.4018853781978518</c:v>
                </c:pt>
                <c:pt idx="84">
                  <c:v>5.3078906823695435</c:v>
                </c:pt>
                <c:pt idx="85">
                  <c:v>3.2764061775292319</c:v>
                </c:pt>
                <c:pt idx="86">
                  <c:v>0.48745792839796892</c:v>
                </c:pt>
                <c:pt idx="87">
                  <c:v>0.88104541895414368</c:v>
                </c:pt>
                <c:pt idx="88">
                  <c:v>5.2324209427830599</c:v>
                </c:pt>
                <c:pt idx="89">
                  <c:v>1.7803824401747561</c:v>
                </c:pt>
                <c:pt idx="90">
                  <c:v>1.9368027402540031</c:v>
                </c:pt>
                <c:pt idx="91">
                  <c:v>1.485800885768646</c:v>
                </c:pt>
                <c:pt idx="92">
                  <c:v>6.6875232003286005</c:v>
                </c:pt>
                <c:pt idx="93">
                  <c:v>2.2866309624842849</c:v>
                </c:pt>
                <c:pt idx="94">
                  <c:v>0.93895458497102147</c:v>
                </c:pt>
                <c:pt idx="95">
                  <c:v>0.4565499215000578</c:v>
                </c:pt>
                <c:pt idx="96">
                  <c:v>5.7851225366248027</c:v>
                </c:pt>
                <c:pt idx="97">
                  <c:v>1.9296932630868604</c:v>
                </c:pt>
                <c:pt idx="98">
                  <c:v>0.61879252749621139</c:v>
                </c:pt>
                <c:pt idx="99">
                  <c:v>0.26708633770122814</c:v>
                </c:pt>
                <c:pt idx="100">
                  <c:v>5.7883552443773576</c:v>
                </c:pt>
                <c:pt idx="101">
                  <c:v>1.333810889414822</c:v>
                </c:pt>
                <c:pt idx="102">
                  <c:v>0.68597743209787754</c:v>
                </c:pt>
                <c:pt idx="103">
                  <c:v>0.27169622041337471</c:v>
                </c:pt>
                <c:pt idx="104">
                  <c:v>5.8258739760483911</c:v>
                </c:pt>
                <c:pt idx="105">
                  <c:v>3.0415403586652556</c:v>
                </c:pt>
                <c:pt idx="106">
                  <c:v>1.6359752296462458</c:v>
                </c:pt>
                <c:pt idx="107">
                  <c:v>-1.0136095694362115</c:v>
                </c:pt>
              </c:numCache>
            </c:numRef>
          </c:val>
          <c:extLst>
            <c:ext xmlns:c16="http://schemas.microsoft.com/office/drawing/2014/chart" uri="{C3380CC4-5D6E-409C-BE32-E72D297353CC}">
              <c16:uniqueId val="{00000004-052B-421F-9A92-2764B71C3D7C}"/>
            </c:ext>
          </c:extLst>
        </c:ser>
        <c:dLbls>
          <c:showLegendKey val="0"/>
          <c:showVal val="0"/>
          <c:showCatName val="0"/>
          <c:showSerName val="0"/>
          <c:showPercent val="0"/>
          <c:showBubbleSize val="0"/>
        </c:dLbls>
        <c:gapWidth val="90"/>
        <c:axId val="294481007"/>
        <c:axId val="1"/>
      </c:barChart>
      <c:catAx>
        <c:axId val="294481007"/>
        <c:scaling>
          <c:orientation val="minMax"/>
        </c:scaling>
        <c:delete val="0"/>
        <c:axPos val="b"/>
        <c:numFmt formatCode="@" sourceLinked="0"/>
        <c:majorTickMark val="out"/>
        <c:minorTickMark val="none"/>
        <c:tickLblPos val="nextTo"/>
        <c:spPr>
          <a:ln w="0">
            <a:solidFill>
              <a:schemeClr val="tx1"/>
            </a:solidFill>
          </a:ln>
        </c:spPr>
        <c:txPr>
          <a:bodyPr rot="0" vert="horz"/>
          <a:lstStyle/>
          <a:p>
            <a:pPr>
              <a:defRPr>
                <a:latin typeface="Noto Sans" panose="020B0502040504020204" pitchFamily="34" charset="0"/>
                <a:ea typeface="Noto Sans" panose="020B0502040504020204" pitchFamily="34" charset="0"/>
                <a:cs typeface="Noto Sans" panose="020B0502040504020204" pitchFamily="34" charset="0"/>
              </a:defRPr>
            </a:pPr>
            <a:endParaRPr lang="es-MX"/>
          </a:p>
        </c:txPr>
        <c:crossAx val="1"/>
        <c:crosses val="autoZero"/>
        <c:auto val="1"/>
        <c:lblAlgn val="ctr"/>
        <c:lblOffset val="100"/>
        <c:tickMarkSkip val="1"/>
        <c:noMultiLvlLbl val="0"/>
      </c:catAx>
      <c:valAx>
        <c:axId val="1"/>
        <c:scaling>
          <c:orientation val="minMax"/>
        </c:scaling>
        <c:delete val="0"/>
        <c:axPos val="l"/>
        <c:numFmt formatCode="#,##0" sourceLinked="0"/>
        <c:majorTickMark val="out"/>
        <c:minorTickMark val="none"/>
        <c:tickLblPos val="nextTo"/>
        <c:spPr>
          <a:ln w="6350">
            <a:solidFill>
              <a:schemeClr val="tx1"/>
            </a:solidFill>
          </a:ln>
        </c:spPr>
        <c:txPr>
          <a:bodyPr rot="0" vert="horz"/>
          <a:lstStyle/>
          <a:p>
            <a:pPr>
              <a:defRPr>
                <a:latin typeface="Noto Sans" panose="020B0502040504020204" pitchFamily="34" charset="0"/>
                <a:ea typeface="Noto Sans" panose="020B0502040504020204" pitchFamily="34" charset="0"/>
                <a:cs typeface="Noto Sans" panose="020B0502040504020204" pitchFamily="34" charset="0"/>
              </a:defRPr>
            </a:pPr>
            <a:endParaRPr lang="es-MX"/>
          </a:p>
        </c:txPr>
        <c:crossAx val="294481007"/>
        <c:crosses val="autoZero"/>
        <c:crossBetween val="between"/>
      </c:valAx>
      <c:spPr>
        <a:ln w="9525">
          <a:prstDash val="dash"/>
        </a:ln>
      </c:spPr>
    </c:plotArea>
    <c:plotVisOnly val="1"/>
    <c:dispBlanksAs val="gap"/>
    <c:showDLblsOverMax val="0"/>
  </c:chart>
  <c:spPr>
    <a:ln>
      <a:noFill/>
    </a:ln>
  </c:spPr>
  <c:txPr>
    <a:bodyPr/>
    <a:lstStyle/>
    <a:p>
      <a:pPr>
        <a:defRPr sz="1000" b="0" i="0" u="none" strike="noStrike" baseline="0">
          <a:solidFill>
            <a:srgbClr val="000000"/>
          </a:solidFill>
          <a:latin typeface="Montserrat" panose="00000500000000000000" pitchFamily="2" charset="0"/>
          <a:ea typeface="Calibri"/>
          <a:cs typeface="Calibri"/>
        </a:defRPr>
      </a:pPr>
      <a:endParaRPr lang="es-MX"/>
    </a:p>
  </c:txPr>
  <c:printSettings>
    <c:headerFooter/>
    <c:pageMargins b="0.75" l="0.7" r="0.7" t="0.75" header="0.3" footer="0.3"/>
    <c:pageSetup/>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1466596675415572E-2"/>
          <c:y val="9.545168556058152E-2"/>
          <c:w val="0.9529975185533619"/>
          <c:h val="0.75289613620992413"/>
        </c:manualLayout>
      </c:layout>
      <c:barChart>
        <c:barDir val="col"/>
        <c:grouping val="clustered"/>
        <c:varyColors val="0"/>
        <c:ser>
          <c:idx val="1"/>
          <c:order val="0"/>
          <c:spPr>
            <a:solidFill>
              <a:srgbClr val="621132"/>
            </a:solidFill>
            <a:ln w="12700" cap="flat" cmpd="sng" algn="ctr">
              <a:noFill/>
              <a:prstDash val="solid"/>
              <a:miter lim="800000"/>
            </a:ln>
            <a:effectLst/>
            <a:scene3d>
              <a:camera prst="orthographicFront"/>
              <a:lightRig rig="threePt" dir="t"/>
            </a:scene3d>
          </c:spPr>
          <c:invertIfNegative val="0"/>
          <c:dLbls>
            <c:spPr>
              <a:noFill/>
              <a:ln w="25400">
                <a:noFill/>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IED_PIB_Anual!$A$8:$A$34</c:f>
              <c:numCache>
                <c:formatCode>General</c:formatCod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numCache>
            </c:numRef>
          </c:cat>
          <c:val>
            <c:numRef>
              <c:f>IED_PIB_Anual!$D$8:$D$34</c:f>
              <c:numCache>
                <c:formatCode>#,##0.0</c:formatCode>
                <c:ptCount val="27"/>
                <c:pt idx="0">
                  <c:v>2.2074138890543922</c:v>
                </c:pt>
                <c:pt idx="1">
                  <c:v>2.4599952587331568</c:v>
                </c:pt>
                <c:pt idx="2">
                  <c:v>3.7712679059405501</c:v>
                </c:pt>
                <c:pt idx="3">
                  <c:v>2.973627391116886</c:v>
                </c:pt>
                <c:pt idx="4">
                  <c:v>2.3834302875842015</c:v>
                </c:pt>
                <c:pt idx="5">
                  <c:v>3.0531255636863199</c:v>
                </c:pt>
                <c:pt idx="6">
                  <c:v>2.8076686627983372</c:v>
                </c:pt>
                <c:pt idx="7">
                  <c:v>2.0825406691781505</c:v>
                </c:pt>
                <c:pt idx="8">
                  <c:v>2.9376537344583227</c:v>
                </c:pt>
                <c:pt idx="9">
                  <c:v>2.5229551482298338</c:v>
                </c:pt>
                <c:pt idx="10">
                  <c:v>1.8863984449962048</c:v>
                </c:pt>
                <c:pt idx="11">
                  <c:v>2.4581602842432453</c:v>
                </c:pt>
                <c:pt idx="12">
                  <c:v>2.0853794377680273</c:v>
                </c:pt>
                <c:pt idx="13">
                  <c:v>1.7336876459048312</c:v>
                </c:pt>
                <c:pt idx="14">
                  <c:v>3.6416896104932275</c:v>
                </c:pt>
                <c:pt idx="15">
                  <c:v>2.2257987894499753</c:v>
                </c:pt>
                <c:pt idx="16">
                  <c:v>2.9634975500966796</c:v>
                </c:pt>
                <c:pt idx="17">
                  <c:v>2.8084550908844728</c:v>
                </c:pt>
                <c:pt idx="18">
                  <c:v>2.849623337240534</c:v>
                </c:pt>
                <c:pt idx="19">
                  <c:v>2.7140751428271201</c:v>
                </c:pt>
                <c:pt idx="20">
                  <c:v>2.6534755091269995</c:v>
                </c:pt>
                <c:pt idx="21">
                  <c:v>2.4978340450991543</c:v>
                </c:pt>
                <c:pt idx="22">
                  <c:v>2.572200397846518</c:v>
                </c:pt>
                <c:pt idx="23">
                  <c:v>2.4798568685526541</c:v>
                </c:pt>
                <c:pt idx="24">
                  <c:v>2.0268116573801271</c:v>
                </c:pt>
                <c:pt idx="25">
                  <c:v>2.0676354782208306</c:v>
                </c:pt>
                <c:pt idx="26">
                  <c:v>2.2217846152257978</c:v>
                </c:pt>
              </c:numCache>
            </c:numRef>
          </c:val>
          <c:extLst>
            <c:ext xmlns:c16="http://schemas.microsoft.com/office/drawing/2014/chart" uri="{C3380CC4-5D6E-409C-BE32-E72D297353CC}">
              <c16:uniqueId val="{00000000-85B2-4C04-AE4E-2B4FA5996BFA}"/>
            </c:ext>
          </c:extLst>
        </c:ser>
        <c:dLbls>
          <c:showLegendKey val="0"/>
          <c:showVal val="0"/>
          <c:showCatName val="0"/>
          <c:showSerName val="0"/>
          <c:showPercent val="0"/>
          <c:showBubbleSize val="0"/>
        </c:dLbls>
        <c:gapWidth val="90"/>
        <c:axId val="294478511"/>
        <c:axId val="1"/>
      </c:barChart>
      <c:catAx>
        <c:axId val="294478511"/>
        <c:scaling>
          <c:orientation val="minMax"/>
        </c:scaling>
        <c:delete val="0"/>
        <c:axPos val="b"/>
        <c:numFmt formatCode="@" sourceLinked="0"/>
        <c:majorTickMark val="out"/>
        <c:minorTickMark val="none"/>
        <c:tickLblPos val="nextTo"/>
        <c:spPr>
          <a:ln w="0">
            <a:solidFill>
              <a:schemeClr val="tx1"/>
            </a:solidFill>
          </a:ln>
        </c:spPr>
        <c:txPr>
          <a:bodyPr rot="0" vert="horz"/>
          <a:lstStyle/>
          <a:p>
            <a:pPr>
              <a:defRPr/>
            </a:pPr>
            <a:endParaRPr lang="es-MX"/>
          </a:p>
        </c:txPr>
        <c:crossAx val="1"/>
        <c:crossesAt val="0"/>
        <c:auto val="1"/>
        <c:lblAlgn val="ctr"/>
        <c:lblOffset val="100"/>
        <c:noMultiLvlLbl val="0"/>
      </c:catAx>
      <c:valAx>
        <c:axId val="1"/>
        <c:scaling>
          <c:orientation val="minMax"/>
          <c:min val="1"/>
        </c:scaling>
        <c:delete val="0"/>
        <c:axPos val="l"/>
        <c:numFmt formatCode="#,##0" sourceLinked="0"/>
        <c:majorTickMark val="out"/>
        <c:minorTickMark val="none"/>
        <c:tickLblPos val="nextTo"/>
        <c:spPr>
          <a:ln w="6350">
            <a:solidFill>
              <a:schemeClr val="tx1"/>
            </a:solidFill>
          </a:ln>
        </c:spPr>
        <c:txPr>
          <a:bodyPr rot="0" vert="horz"/>
          <a:lstStyle/>
          <a:p>
            <a:pPr>
              <a:defRPr/>
            </a:pPr>
            <a:endParaRPr lang="es-MX"/>
          </a:p>
        </c:txPr>
        <c:crossAx val="294478511"/>
        <c:crosses val="autoZero"/>
        <c:crossBetween val="between"/>
        <c:majorUnit val="5"/>
      </c:valAx>
      <c:spPr>
        <a:ln w="9525">
          <a:prstDash val="dash"/>
        </a:ln>
      </c:spPr>
    </c:plotArea>
    <c:plotVisOnly val="1"/>
    <c:dispBlanksAs val="gap"/>
    <c:showDLblsOverMax val="0"/>
  </c:chart>
  <c:spPr>
    <a:ln>
      <a:noFill/>
    </a:ln>
  </c:spPr>
  <c:txPr>
    <a:bodyPr/>
    <a:lstStyle/>
    <a:p>
      <a:pPr>
        <a:defRPr sz="1000" b="0" i="0" u="none" strike="noStrike" baseline="0">
          <a:solidFill>
            <a:srgbClr val="000000"/>
          </a:solidFill>
          <a:latin typeface="Noto Sans" panose="020B0502040504020204" pitchFamily="34" charset="0"/>
          <a:ea typeface="Noto Sans" panose="020B0502040504020204" pitchFamily="34" charset="0"/>
          <a:cs typeface="Noto Sans" panose="020B0502040504020204" pitchFamily="34" charset="0"/>
        </a:defRPr>
      </a:pPr>
      <a:endParaRPr lang="es-MX"/>
    </a:p>
  </c:txPr>
  <c:printSettings>
    <c:headerFooter/>
    <c:pageMargins b="0.75" l="0.7" r="0.7" t="0.75" header="0.3" footer="0.3"/>
    <c:pageSetup/>
  </c:printSettings>
  <c:userShapes r:id="rId1"/>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3.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absolute">
    <xdr:from>
      <xdr:col>5</xdr:col>
      <xdr:colOff>114300</xdr:colOff>
      <xdr:row>10</xdr:row>
      <xdr:rowOff>127374</xdr:rowOff>
    </xdr:from>
    <xdr:to>
      <xdr:col>25</xdr:col>
      <xdr:colOff>361950</xdr:colOff>
      <xdr:row>40</xdr:row>
      <xdr:rowOff>17071</xdr:rowOff>
    </xdr:to>
    <xdr:graphicFrame macro="">
      <xdr:nvGraphicFramePr>
        <xdr:cNvPr id="1129" name="Gráfico 1">
          <a:extLst>
            <a:ext uri="{FF2B5EF4-FFF2-40B4-BE49-F238E27FC236}">
              <a16:creationId xmlns:a16="http://schemas.microsoft.com/office/drawing/2014/main" id="{00000000-0008-0000-0000-00006904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19</xdr:col>
      <xdr:colOff>773570</xdr:colOff>
      <xdr:row>0</xdr:row>
      <xdr:rowOff>0</xdr:rowOff>
    </xdr:from>
    <xdr:to>
      <xdr:col>23</xdr:col>
      <xdr:colOff>758907</xdr:colOff>
      <xdr:row>2</xdr:row>
      <xdr:rowOff>252328</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716164" y="0"/>
          <a:ext cx="3509587" cy="8000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22</xdr:col>
      <xdr:colOff>559594</xdr:colOff>
      <xdr:row>0</xdr:row>
      <xdr:rowOff>47625</xdr:rowOff>
    </xdr:from>
    <xdr:to>
      <xdr:col>27</xdr:col>
      <xdr:colOff>682067</xdr:colOff>
      <xdr:row>2</xdr:row>
      <xdr:rowOff>226432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3"/>
        <a:stretch>
          <a:fillRect/>
        </a:stretch>
      </xdr:blipFill>
      <xdr:spPr>
        <a:xfrm>
          <a:off x="20145375" y="47625"/>
          <a:ext cx="3730067" cy="726495"/>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0.00478</cdr:x>
      <cdr:y>0.02586</cdr:y>
    </cdr:from>
    <cdr:to>
      <cdr:x>0.98629</cdr:x>
      <cdr:y>0.15364</cdr:y>
    </cdr:to>
    <cdr:sp macro="" textlink="">
      <cdr:nvSpPr>
        <cdr:cNvPr id="2" name="1 CuadroTexto"/>
        <cdr:cNvSpPr txBox="1"/>
      </cdr:nvSpPr>
      <cdr:spPr>
        <a:xfrm xmlns:a="http://schemas.openxmlformats.org/drawingml/2006/main">
          <a:off x="75479" y="190502"/>
          <a:ext cx="14016181" cy="943172"/>
        </a:xfrm>
        <a:prstGeom xmlns:a="http://schemas.openxmlformats.org/drawingml/2006/main" prst="rect">
          <a:avLst/>
        </a:prstGeom>
        <a:noFill xmlns:a="http://schemas.openxmlformats.org/drawingml/2006/main"/>
      </cdr:spPr>
      <cdr:txBody>
        <a:bodyPr xmlns:a="http://schemas.openxmlformats.org/drawingml/2006/main" vertOverflow="clip" wrap="square" rtlCol="0"/>
        <a:lstStyle xmlns:a="http://schemas.openxmlformats.org/drawingml/2006/main"/>
        <a:p xmlns:a="http://schemas.openxmlformats.org/drawingml/2006/main">
          <a:pPr algn="ctr"/>
          <a:r>
            <a:rPr lang="es-MX" sz="2400" b="1">
              <a:latin typeface="Noto Sans" panose="020B0502040504020204" pitchFamily="34" charset="0"/>
              <a:ea typeface="Noto Sans" panose="020B0502040504020204" pitchFamily="34" charset="0"/>
              <a:cs typeface="Noto Sans" panose="020B0502040504020204" pitchFamily="34" charset="0"/>
            </a:rPr>
            <a:t>IED COMO PORCENTAJE DEL</a:t>
          </a:r>
          <a:r>
            <a:rPr lang="es-MX" sz="2400" b="1" baseline="0">
              <a:latin typeface="Noto Sans" panose="020B0502040504020204" pitchFamily="34" charset="0"/>
              <a:ea typeface="Noto Sans" panose="020B0502040504020204" pitchFamily="34" charset="0"/>
              <a:cs typeface="Noto Sans" panose="020B0502040504020204" pitchFamily="34" charset="0"/>
            </a:rPr>
            <a:t> PIB TRIMESTRAL ANUALIZADO</a:t>
          </a:r>
          <a:r>
            <a:rPr lang="es-MX" sz="2400" b="1">
              <a:latin typeface="Noto Sans" panose="020B0502040504020204" pitchFamily="34" charset="0"/>
              <a:ea typeface="Noto Sans" panose="020B0502040504020204" pitchFamily="34" charset="0"/>
              <a:cs typeface="Noto Sans" panose="020B0502040504020204" pitchFamily="34" charset="0"/>
            </a:rPr>
            <a:t>, 1999 - 2025</a:t>
          </a:r>
        </a:p>
        <a:p xmlns:a="http://schemas.openxmlformats.org/drawingml/2006/main">
          <a:pPr algn="ctr"/>
          <a:endParaRPr lang="es-MX" sz="2400" b="1">
            <a:latin typeface="Noto Sans" panose="020B0502040504020204" pitchFamily="34" charset="0"/>
            <a:ea typeface="Noto Sans" panose="020B0502040504020204" pitchFamily="34" charset="0"/>
            <a:cs typeface="Noto Sans" panose="020B0502040504020204" pitchFamily="34" charset="0"/>
          </a:endParaRPr>
        </a:p>
        <a:p xmlns:a="http://schemas.openxmlformats.org/drawingml/2006/main">
          <a:pPr algn="ctr"/>
          <a:br>
            <a:rPr lang="es-MX" sz="1800">
              <a:latin typeface="Noto Sans" panose="020B0502040504020204" pitchFamily="34" charset="0"/>
              <a:ea typeface="Noto Sans" panose="020B0502040504020204" pitchFamily="34" charset="0"/>
              <a:cs typeface="Noto Sans" panose="020B0502040504020204" pitchFamily="34" charset="0"/>
            </a:rPr>
          </a:br>
          <a:endParaRPr lang="es-MX" sz="1800">
            <a:latin typeface="Noto Sans" panose="020B0502040504020204" pitchFamily="34" charset="0"/>
            <a:ea typeface="Noto Sans" panose="020B0502040504020204" pitchFamily="34" charset="0"/>
            <a:cs typeface="Noto Sans" panose="020B0502040504020204" pitchFamily="34" charset="0"/>
          </a:endParaRPr>
        </a:p>
      </cdr:txBody>
    </cdr:sp>
  </cdr:relSizeAnchor>
  <cdr:relSizeAnchor xmlns:cdr="http://schemas.openxmlformats.org/drawingml/2006/chartDrawing">
    <cdr:from>
      <cdr:x>0.01211</cdr:x>
      <cdr:y>0.94659</cdr:y>
    </cdr:from>
    <cdr:to>
      <cdr:x>0.47026</cdr:x>
      <cdr:y>0.98711</cdr:y>
    </cdr:to>
    <cdr:sp macro="" textlink="">
      <cdr:nvSpPr>
        <cdr:cNvPr id="3" name="CuadroTexto 2"/>
        <cdr:cNvSpPr txBox="1"/>
      </cdr:nvSpPr>
      <cdr:spPr>
        <a:xfrm xmlns:a="http://schemas.openxmlformats.org/drawingml/2006/main">
          <a:off x="149679" y="6994071"/>
          <a:ext cx="5660571" cy="29935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s-MX" sz="900">
              <a:latin typeface="Noto Sans" panose="020B0502040504020204" pitchFamily="34" charset="0"/>
              <a:ea typeface="Noto Sans" panose="020B0502040504020204" pitchFamily="34" charset="0"/>
              <a:cs typeface="Noto Sans" panose="020B0502040504020204" pitchFamily="34" charset="0"/>
            </a:rPr>
            <a:t>Fuente: Secretaría de Economía, INEGI y Banco </a:t>
          </a:r>
          <a:r>
            <a:rPr lang="es-MX" sz="1000">
              <a:latin typeface="Noto Sans" panose="020B0502040504020204" pitchFamily="34" charset="0"/>
              <a:ea typeface="Noto Sans" panose="020B0502040504020204" pitchFamily="34" charset="0"/>
              <a:cs typeface="Noto Sans" panose="020B0502040504020204" pitchFamily="34" charset="0"/>
            </a:rPr>
            <a:t>de</a:t>
          </a:r>
          <a:r>
            <a:rPr lang="es-MX" sz="900">
              <a:latin typeface="Noto Sans" panose="020B0502040504020204" pitchFamily="34" charset="0"/>
              <a:ea typeface="Noto Sans" panose="020B0502040504020204" pitchFamily="34" charset="0"/>
              <a:cs typeface="Noto Sans" panose="020B0502040504020204" pitchFamily="34" charset="0"/>
            </a:rPr>
            <a:t> México</a:t>
          </a:r>
          <a:r>
            <a:rPr lang="es-MX" sz="1100">
              <a:latin typeface="Noto Sans" panose="020B0502040504020204" pitchFamily="34" charset="0"/>
              <a:ea typeface="Noto Sans" panose="020B0502040504020204" pitchFamily="34" charset="0"/>
              <a:cs typeface="Noto Sans" panose="020B0502040504020204" pitchFamily="34" charset="0"/>
            </a:rPr>
            <a:t>.</a:t>
          </a:r>
        </a:p>
      </cdr:txBody>
    </cdr:sp>
  </cdr:relSizeAnchor>
</c:userShapes>
</file>

<file path=xl/drawings/drawing3.xml><?xml version="1.0" encoding="utf-8"?>
<xdr:wsDr xmlns:xdr="http://schemas.openxmlformats.org/drawingml/2006/spreadsheetDrawing" xmlns:a="http://schemas.openxmlformats.org/drawingml/2006/main">
  <xdr:twoCellAnchor editAs="absolute">
    <xdr:from>
      <xdr:col>6</xdr:col>
      <xdr:colOff>388144</xdr:colOff>
      <xdr:row>6</xdr:row>
      <xdr:rowOff>258574</xdr:rowOff>
    </xdr:from>
    <xdr:to>
      <xdr:col>21</xdr:col>
      <xdr:colOff>483394</xdr:colOff>
      <xdr:row>22</xdr:row>
      <xdr:rowOff>183495</xdr:rowOff>
    </xdr:to>
    <xdr:graphicFrame macro="">
      <xdr:nvGraphicFramePr>
        <xdr:cNvPr id="2153" name="Gráfico 2">
          <a:extLst>
            <a:ext uri="{FF2B5EF4-FFF2-40B4-BE49-F238E27FC236}">
              <a16:creationId xmlns:a16="http://schemas.microsoft.com/office/drawing/2014/main" id="{00000000-0008-0000-0100-00006908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168290</xdr:colOff>
      <xdr:row>0</xdr:row>
      <xdr:rowOff>57663</xdr:rowOff>
    </xdr:from>
    <xdr:to>
      <xdr:col>17</xdr:col>
      <xdr:colOff>457524</xdr:colOff>
      <xdr:row>2</xdr:row>
      <xdr:rowOff>238124</xdr:rowOff>
    </xdr:to>
    <xdr:pic>
      <xdr:nvPicPr>
        <xdr:cNvPr id="5" name="Imagen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514946" y="57663"/>
          <a:ext cx="3337234" cy="76386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15</xdr:col>
      <xdr:colOff>671762</xdr:colOff>
      <xdr:row>0</xdr:row>
      <xdr:rowOff>47625</xdr:rowOff>
    </xdr:from>
    <xdr:to>
      <xdr:col>21</xdr:col>
      <xdr:colOff>658255</xdr:colOff>
      <xdr:row>2</xdr:row>
      <xdr:rowOff>250031</xdr:rowOff>
    </xdr:to>
    <xdr:pic>
      <xdr:nvPicPr>
        <xdr:cNvPr id="6" name="Imagen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3"/>
        <a:stretch>
          <a:fillRect/>
        </a:stretch>
      </xdr:blipFill>
      <xdr:spPr>
        <a:xfrm>
          <a:off x="13542418" y="47625"/>
          <a:ext cx="4034618" cy="785812"/>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0.00528</cdr:x>
      <cdr:y>0.02512</cdr:y>
    </cdr:from>
    <cdr:to>
      <cdr:x>1</cdr:x>
      <cdr:y>0.14336</cdr:y>
    </cdr:to>
    <cdr:sp macro="" textlink="">
      <cdr:nvSpPr>
        <cdr:cNvPr id="2" name="1 CuadroTexto"/>
        <cdr:cNvSpPr txBox="1"/>
      </cdr:nvSpPr>
      <cdr:spPr>
        <a:xfrm xmlns:a="http://schemas.openxmlformats.org/drawingml/2006/main">
          <a:off x="50651" y="99727"/>
          <a:ext cx="9542384" cy="4938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s-MX" sz="1800" b="1">
              <a:latin typeface="Noto Sans" panose="020B0502040504020204" pitchFamily="34" charset="0"/>
              <a:ea typeface="Noto Sans" panose="020B0502040504020204" pitchFamily="34" charset="0"/>
              <a:cs typeface="Noto Sans" panose="020B0502040504020204" pitchFamily="34" charset="0"/>
            </a:rPr>
            <a:t>IED</a:t>
          </a:r>
          <a:r>
            <a:rPr lang="es-MX" sz="1800" b="1" baseline="0">
              <a:latin typeface="Noto Sans" panose="020B0502040504020204" pitchFamily="34" charset="0"/>
              <a:ea typeface="Noto Sans" panose="020B0502040504020204" pitchFamily="34" charset="0"/>
              <a:cs typeface="Noto Sans" panose="020B0502040504020204" pitchFamily="34" charset="0"/>
            </a:rPr>
            <a:t> </a:t>
          </a:r>
          <a:r>
            <a:rPr lang="es-MX" sz="1800" b="1">
              <a:latin typeface="Noto Sans" panose="020B0502040504020204" pitchFamily="34" charset="0"/>
              <a:ea typeface="Noto Sans" panose="020B0502040504020204" pitchFamily="34" charset="0"/>
              <a:cs typeface="Noto Sans" panose="020B0502040504020204" pitchFamily="34" charset="0"/>
            </a:rPr>
            <a:t>COMO PORCENTAJE DE</a:t>
          </a:r>
          <a:r>
            <a:rPr lang="es-MX" sz="1800" b="1" baseline="0">
              <a:latin typeface="Noto Sans" panose="020B0502040504020204" pitchFamily="34" charset="0"/>
              <a:ea typeface="Noto Sans" panose="020B0502040504020204" pitchFamily="34" charset="0"/>
              <a:cs typeface="Noto Sans" panose="020B0502040504020204" pitchFamily="34" charset="0"/>
            </a:rPr>
            <a:t>L PIB ANUAL</a:t>
          </a:r>
          <a:r>
            <a:rPr lang="es-MX" sz="1800" b="1">
              <a:latin typeface="Noto Sans" panose="020B0502040504020204" pitchFamily="34" charset="0"/>
              <a:ea typeface="Noto Sans" panose="020B0502040504020204" pitchFamily="34" charset="0"/>
              <a:cs typeface="Noto Sans" panose="020B0502040504020204" pitchFamily="34" charset="0"/>
            </a:rPr>
            <a:t>, 1999 - 2025</a:t>
          </a:r>
          <a:br>
            <a:rPr lang="es-MX" sz="1800">
              <a:latin typeface="Noto Sans" panose="020B0502040504020204" pitchFamily="34" charset="0"/>
              <a:ea typeface="Noto Sans" panose="020B0502040504020204" pitchFamily="34" charset="0"/>
              <a:cs typeface="Noto Sans" panose="020B0502040504020204" pitchFamily="34" charset="0"/>
            </a:rPr>
          </a:br>
          <a:endParaRPr lang="es-MX" sz="1800">
            <a:latin typeface="Noto Sans" panose="020B0502040504020204" pitchFamily="34" charset="0"/>
            <a:ea typeface="Noto Sans" panose="020B0502040504020204" pitchFamily="34" charset="0"/>
            <a:cs typeface="Noto Sans" panose="020B0502040504020204" pitchFamily="34" charset="0"/>
          </a:endParaRPr>
        </a:p>
      </cdr:txBody>
    </cdr:sp>
  </cdr:relSizeAnchor>
  <cdr:relSizeAnchor xmlns:cdr="http://schemas.openxmlformats.org/drawingml/2006/chartDrawing">
    <cdr:from>
      <cdr:x>0.01069</cdr:x>
      <cdr:y>0.92407</cdr:y>
    </cdr:from>
    <cdr:to>
      <cdr:x>0.46884</cdr:x>
      <cdr:y>1</cdr:y>
    </cdr:to>
    <cdr:sp macro="" textlink="">
      <cdr:nvSpPr>
        <cdr:cNvPr id="3" name="CuadroTexto 2"/>
        <cdr:cNvSpPr txBox="1"/>
      </cdr:nvSpPr>
      <cdr:spPr>
        <a:xfrm xmlns:a="http://schemas.openxmlformats.org/drawingml/2006/main">
          <a:off x="102565" y="3627181"/>
          <a:ext cx="4395049" cy="30528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s-MX" sz="1000">
              <a:latin typeface="Noto Sans" panose="020B0502040504020204" pitchFamily="34" charset="0"/>
              <a:ea typeface="Noto Sans" panose="020B0502040504020204" pitchFamily="34" charset="0"/>
              <a:cs typeface="Noto Sans" panose="020B0502040504020204" pitchFamily="34" charset="0"/>
            </a:rPr>
            <a:t>Fuente: Secretaría de </a:t>
          </a:r>
          <a:r>
            <a:rPr lang="es-MX" sz="1100">
              <a:latin typeface="Noto Sans" panose="020B0502040504020204" pitchFamily="34" charset="0"/>
              <a:ea typeface="Noto Sans" panose="020B0502040504020204" pitchFamily="34" charset="0"/>
              <a:cs typeface="Noto Sans" panose="020B0502040504020204" pitchFamily="34" charset="0"/>
            </a:rPr>
            <a:t>Economía</a:t>
          </a:r>
          <a:r>
            <a:rPr lang="es-MX" sz="1000">
              <a:latin typeface="Noto Sans" panose="020B0502040504020204" pitchFamily="34" charset="0"/>
              <a:ea typeface="Noto Sans" panose="020B0502040504020204" pitchFamily="34" charset="0"/>
              <a:cs typeface="Noto Sans" panose="020B0502040504020204" pitchFamily="34" charset="0"/>
            </a:rPr>
            <a:t>, INEGI y Banco de México</a:t>
          </a:r>
          <a:r>
            <a:rPr lang="es-MX" sz="1100">
              <a:latin typeface="Noto Sans" panose="020B0502040504020204" pitchFamily="34" charset="0"/>
              <a:ea typeface="Noto Sans" panose="020B0502040504020204" pitchFamily="34" charset="0"/>
              <a:cs typeface="Noto Sans" panose="020B0502040504020204" pitchFamily="34" charset="0"/>
            </a:rPr>
            <a:t>.</a:t>
          </a:r>
        </a:p>
      </cdr:txBody>
    </cdr:sp>
  </cdr:relSizeAnchor>
</c:userShapes>
</file>

<file path=xl/drawings/drawing5.xml><?xml version="1.0" encoding="utf-8"?>
<xdr:wsDr xmlns:xdr="http://schemas.openxmlformats.org/drawingml/2006/spreadsheetDrawing" xmlns:a="http://schemas.openxmlformats.org/drawingml/2006/main">
  <xdr:twoCellAnchor editAs="oneCell">
    <xdr:from>
      <xdr:col>0</xdr:col>
      <xdr:colOff>210253</xdr:colOff>
      <xdr:row>1</xdr:row>
      <xdr:rowOff>146943</xdr:rowOff>
    </xdr:from>
    <xdr:to>
      <xdr:col>8</xdr:col>
      <xdr:colOff>457200</xdr:colOff>
      <xdr:row>63</xdr:row>
      <xdr:rowOff>19050</xdr:rowOff>
    </xdr:to>
    <xdr:pic>
      <xdr:nvPicPr>
        <xdr:cNvPr id="3" name="Imagen 2">
          <a:extLst>
            <a:ext uri="{FF2B5EF4-FFF2-40B4-BE49-F238E27FC236}">
              <a16:creationId xmlns:a16="http://schemas.microsoft.com/office/drawing/2014/main" id="{00000000-0008-0000-0200-000003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0253" y="299343"/>
          <a:ext cx="6342947" cy="9320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22"/>
  <sheetViews>
    <sheetView showGridLines="0" tabSelected="1" topLeftCell="A6" zoomScale="80" zoomScaleNormal="80" workbookViewId="0">
      <selection activeCell="C6" sqref="C6"/>
    </sheetView>
  </sheetViews>
  <sheetFormatPr defaultColWidth="0" defaultRowHeight="17.25" zeroHeight="1" x14ac:dyDescent="0.6"/>
  <cols>
    <col min="1" max="1" width="10" style="2" customWidth="1"/>
    <col min="2" max="2" width="12.84375" style="2" customWidth="1"/>
    <col min="3" max="3" width="23.53515625" style="2" customWidth="1"/>
    <col min="4" max="4" width="17.3828125" style="2" customWidth="1"/>
    <col min="5" max="5" width="16" style="2" customWidth="1"/>
    <col min="6" max="6" width="2.3046875" style="3" customWidth="1"/>
    <col min="7" max="26" width="13.15234375" style="3" customWidth="1"/>
    <col min="27" max="27" width="1.3046875" style="3" customWidth="1"/>
    <col min="28" max="28" width="11.3828125" style="3" customWidth="1"/>
    <col min="29" max="29" width="0" style="3" hidden="1" customWidth="1"/>
    <col min="30" max="30" width="4.3828125" style="3" customWidth="1"/>
    <col min="31" max="16384" width="11.3828125" style="3" hidden="1"/>
  </cols>
  <sheetData>
    <row r="1" spans="1:28" s="57" customFormat="1" ht="21.75" customHeight="1" x14ac:dyDescent="0.35">
      <c r="A1" s="64" t="s">
        <v>11</v>
      </c>
      <c r="B1" s="64"/>
      <c r="C1" s="64"/>
      <c r="D1" s="64"/>
      <c r="E1" s="64"/>
      <c r="F1" s="64"/>
      <c r="G1" s="64"/>
      <c r="H1" s="64"/>
      <c r="I1" s="64"/>
      <c r="J1" s="64"/>
      <c r="K1" s="64"/>
      <c r="L1" s="64"/>
      <c r="M1" s="64"/>
      <c r="N1" s="64"/>
      <c r="O1" s="64"/>
      <c r="P1" s="64"/>
      <c r="Q1" s="64"/>
      <c r="R1" s="64"/>
      <c r="S1" s="64"/>
      <c r="T1" s="64"/>
      <c r="U1" s="64"/>
      <c r="V1" s="64"/>
      <c r="W1" s="64"/>
      <c r="X1" s="64"/>
      <c r="Y1" s="64"/>
      <c r="Z1" s="64"/>
      <c r="AA1" s="64"/>
      <c r="AB1" s="64"/>
    </row>
    <row r="2" spans="1:28" s="57" customFormat="1" ht="21.75" customHeight="1" x14ac:dyDescent="0.35">
      <c r="A2" s="64"/>
      <c r="B2" s="64"/>
      <c r="C2" s="64"/>
      <c r="D2" s="64"/>
      <c r="E2" s="64"/>
      <c r="F2" s="64"/>
      <c r="G2" s="64"/>
      <c r="H2" s="64"/>
      <c r="I2" s="64"/>
      <c r="J2" s="64"/>
      <c r="K2" s="64"/>
      <c r="L2" s="64"/>
      <c r="M2" s="64"/>
      <c r="N2" s="64"/>
      <c r="O2" s="64"/>
      <c r="P2" s="64"/>
      <c r="Q2" s="64"/>
      <c r="R2" s="64"/>
      <c r="S2" s="64"/>
      <c r="T2" s="64"/>
      <c r="U2" s="64"/>
      <c r="V2" s="64"/>
      <c r="W2" s="64"/>
      <c r="X2" s="64"/>
      <c r="Y2" s="64"/>
      <c r="Z2" s="64"/>
      <c r="AA2" s="64"/>
      <c r="AB2" s="64"/>
    </row>
    <row r="3" spans="1:28" s="57" customFormat="1" ht="21.75" customHeight="1" x14ac:dyDescent="0.35">
      <c r="A3" s="64"/>
      <c r="B3" s="64"/>
      <c r="C3" s="64"/>
      <c r="D3" s="64"/>
      <c r="E3" s="64"/>
      <c r="F3" s="64"/>
      <c r="G3" s="64"/>
      <c r="H3" s="64"/>
      <c r="I3" s="64"/>
      <c r="J3" s="64"/>
      <c r="K3" s="64"/>
      <c r="L3" s="64"/>
      <c r="M3" s="64"/>
      <c r="N3" s="64"/>
      <c r="O3" s="64"/>
      <c r="P3" s="64"/>
      <c r="Q3" s="64"/>
      <c r="R3" s="64"/>
      <c r="S3" s="64"/>
      <c r="T3" s="64"/>
      <c r="U3" s="64"/>
      <c r="V3" s="64"/>
      <c r="W3" s="64"/>
      <c r="X3" s="64"/>
      <c r="Y3" s="64"/>
      <c r="Z3" s="64"/>
      <c r="AA3" s="64"/>
      <c r="AB3" s="64"/>
    </row>
    <row r="4" spans="1:28" x14ac:dyDescent="0.6">
      <c r="A4" s="1"/>
    </row>
    <row r="5" spans="1:28" x14ac:dyDescent="0.6">
      <c r="A5" s="1"/>
    </row>
    <row r="6" spans="1:28" s="5" customFormat="1" ht="19.5" customHeight="1" x14ac:dyDescent="0.6">
      <c r="A6" s="69" t="s">
        <v>0</v>
      </c>
      <c r="B6" s="69" t="s">
        <v>1</v>
      </c>
      <c r="C6" s="4" t="s">
        <v>2</v>
      </c>
      <c r="D6" s="4" t="s">
        <v>3</v>
      </c>
      <c r="E6" s="4" t="s">
        <v>4</v>
      </c>
    </row>
    <row r="7" spans="1:28" s="5" customFormat="1" ht="19.5" customHeight="1" x14ac:dyDescent="0.6">
      <c r="A7" s="70"/>
      <c r="B7" s="70"/>
      <c r="C7" s="71" t="s">
        <v>13</v>
      </c>
      <c r="D7" s="72"/>
      <c r="E7" s="4" t="s">
        <v>5</v>
      </c>
    </row>
    <row r="8" spans="1:28" x14ac:dyDescent="0.6">
      <c r="A8" s="73">
        <v>1999</v>
      </c>
      <c r="B8" s="6" t="s">
        <v>6</v>
      </c>
      <c r="C8" s="7">
        <v>3596.0751519900109</v>
      </c>
      <c r="D8" s="7">
        <v>142370.36520064788</v>
      </c>
      <c r="E8" s="8">
        <v>2.5258593295886596</v>
      </c>
    </row>
    <row r="9" spans="1:28" x14ac:dyDescent="0.6">
      <c r="A9" s="73"/>
      <c r="B9" s="9" t="s">
        <v>7</v>
      </c>
      <c r="C9" s="10">
        <v>3395.8904113800213</v>
      </c>
      <c r="D9" s="10">
        <v>156996.48716838402</v>
      </c>
      <c r="E9" s="11">
        <v>2.1630359205029945</v>
      </c>
    </row>
    <row r="10" spans="1:28" x14ac:dyDescent="0.6">
      <c r="A10" s="73"/>
      <c r="B10" s="9" t="s">
        <v>8</v>
      </c>
      <c r="C10" s="10">
        <v>3028.4476429900201</v>
      </c>
      <c r="D10" s="10">
        <v>164464.28598094266</v>
      </c>
      <c r="E10" s="11">
        <v>1.8414013868889092</v>
      </c>
    </row>
    <row r="11" spans="1:28" x14ac:dyDescent="0.6">
      <c r="A11" s="73"/>
      <c r="B11" s="12" t="s">
        <v>9</v>
      </c>
      <c r="C11" s="13">
        <v>3939.9046280600205</v>
      </c>
      <c r="D11" s="13">
        <v>168597.51056100812</v>
      </c>
      <c r="E11" s="14">
        <v>2.3368699899245193</v>
      </c>
    </row>
    <row r="12" spans="1:28" x14ac:dyDescent="0.6">
      <c r="A12" s="73">
        <v>2000</v>
      </c>
      <c r="B12" s="6" t="s">
        <v>6</v>
      </c>
      <c r="C12" s="7">
        <v>4600.6358357300305</v>
      </c>
      <c r="D12" s="7">
        <v>178768.61063780228</v>
      </c>
      <c r="E12" s="8">
        <v>2.5735143431031307</v>
      </c>
    </row>
    <row r="13" spans="1:28" x14ac:dyDescent="0.6">
      <c r="A13" s="73"/>
      <c r="B13" s="9" t="s">
        <v>7</v>
      </c>
      <c r="C13" s="10">
        <v>4857.4234801700522</v>
      </c>
      <c r="D13" s="10">
        <v>181360.63739322897</v>
      </c>
      <c r="E13" s="11">
        <v>2.6783228985009084</v>
      </c>
    </row>
    <row r="14" spans="1:28" x14ac:dyDescent="0.6">
      <c r="A14" s="73"/>
      <c r="B14" s="9" t="s">
        <v>8</v>
      </c>
      <c r="C14" s="10">
        <v>3056.9462686500078</v>
      </c>
      <c r="D14" s="10">
        <v>191704.49934091748</v>
      </c>
      <c r="E14" s="11">
        <v>1.5946137305904808</v>
      </c>
    </row>
    <row r="15" spans="1:28" x14ac:dyDescent="0.6">
      <c r="A15" s="73"/>
      <c r="B15" s="12" t="s">
        <v>9</v>
      </c>
      <c r="C15" s="13">
        <v>5733.6828056599834</v>
      </c>
      <c r="D15" s="13">
        <v>189984.28359481611</v>
      </c>
      <c r="E15" s="14">
        <v>3.0179774332746079</v>
      </c>
    </row>
    <row r="16" spans="1:28" x14ac:dyDescent="0.6">
      <c r="A16" s="73">
        <v>2001</v>
      </c>
      <c r="B16" s="6" t="s">
        <v>6</v>
      </c>
      <c r="C16" s="7">
        <v>3598.677000336937</v>
      </c>
      <c r="D16" s="7">
        <v>188767.0807562432</v>
      </c>
      <c r="E16" s="8">
        <v>1.9064113223131018</v>
      </c>
    </row>
    <row r="17" spans="1:5" x14ac:dyDescent="0.6">
      <c r="A17" s="73"/>
      <c r="B17" s="9" t="s">
        <v>7</v>
      </c>
      <c r="C17" s="10">
        <v>5218.8302660300069</v>
      </c>
      <c r="D17" s="10">
        <v>203192.05092184589</v>
      </c>
      <c r="E17" s="11">
        <v>2.5684224566626055</v>
      </c>
    </row>
    <row r="18" spans="1:5" x14ac:dyDescent="0.6">
      <c r="A18" s="73"/>
      <c r="B18" s="9" t="s">
        <v>8</v>
      </c>
      <c r="C18" s="10">
        <v>16314.0481983101</v>
      </c>
      <c r="D18" s="10">
        <v>203202.42623733127</v>
      </c>
      <c r="E18" s="11">
        <v>8.0284711656228094</v>
      </c>
    </row>
    <row r="19" spans="1:5" x14ac:dyDescent="0.6">
      <c r="A19" s="73"/>
      <c r="B19" s="12" t="s">
        <v>9</v>
      </c>
      <c r="C19" s="13">
        <v>4925.625658099998</v>
      </c>
      <c r="D19" s="13">
        <v>201843.10662804992</v>
      </c>
      <c r="E19" s="14">
        <v>2.4403239428814305</v>
      </c>
    </row>
    <row r="20" spans="1:5" x14ac:dyDescent="0.6">
      <c r="A20" s="73">
        <v>2002</v>
      </c>
      <c r="B20" s="6" t="s">
        <v>6</v>
      </c>
      <c r="C20" s="7">
        <v>5067.9842793500102</v>
      </c>
      <c r="D20" s="7">
        <v>200500.89474811274</v>
      </c>
      <c r="E20" s="8">
        <v>2.5276616773789802</v>
      </c>
    </row>
    <row r="21" spans="1:5" x14ac:dyDescent="0.6">
      <c r="A21" s="73"/>
      <c r="B21" s="9" t="s">
        <v>7</v>
      </c>
      <c r="C21" s="10">
        <v>6258.5196879300302</v>
      </c>
      <c r="D21" s="10">
        <v>209567.50530794126</v>
      </c>
      <c r="E21" s="11">
        <v>2.9863979526471334</v>
      </c>
    </row>
    <row r="22" spans="1:5" x14ac:dyDescent="0.6">
      <c r="A22" s="73"/>
      <c r="B22" s="9" t="s">
        <v>8</v>
      </c>
      <c r="C22" s="10">
        <v>6114.3371770600306</v>
      </c>
      <c r="D22" s="10">
        <v>201504.36942400312</v>
      </c>
      <c r="E22" s="11">
        <v>3.0343447115006796</v>
      </c>
    </row>
    <row r="23" spans="1:5" x14ac:dyDescent="0.6">
      <c r="A23" s="73"/>
      <c r="B23" s="12" t="s">
        <v>9</v>
      </c>
      <c r="C23" s="13">
        <v>6658.3650667900283</v>
      </c>
      <c r="D23" s="13">
        <v>198858.49985522134</v>
      </c>
      <c r="E23" s="14">
        <v>3.3482929176462872</v>
      </c>
    </row>
    <row r="24" spans="1:5" x14ac:dyDescent="0.6">
      <c r="A24" s="73">
        <v>2003</v>
      </c>
      <c r="B24" s="6" t="s">
        <v>6</v>
      </c>
      <c r="C24" s="7">
        <v>3963.6853646000272</v>
      </c>
      <c r="D24" s="7">
        <v>187096.76880943598</v>
      </c>
      <c r="E24" s="8">
        <v>2.1185215489408944</v>
      </c>
    </row>
    <row r="25" spans="1:5" x14ac:dyDescent="0.6">
      <c r="A25" s="73"/>
      <c r="B25" s="9" t="s">
        <v>7</v>
      </c>
      <c r="C25" s="10">
        <v>5547.3362112600416</v>
      </c>
      <c r="D25" s="10">
        <v>197519.08187436868</v>
      </c>
      <c r="E25" s="11">
        <v>2.8085064787757594</v>
      </c>
    </row>
    <row r="26" spans="1:5" x14ac:dyDescent="0.6">
      <c r="A26" s="73"/>
      <c r="B26" s="9" t="s">
        <v>8</v>
      </c>
      <c r="C26" s="10">
        <v>2521.6765765800192</v>
      </c>
      <c r="D26" s="10">
        <v>191630.21384131728</v>
      </c>
      <c r="E26" s="11">
        <v>1.3159076150006999</v>
      </c>
    </row>
    <row r="27" spans="1:5" x14ac:dyDescent="0.6">
      <c r="A27" s="73"/>
      <c r="B27" s="12" t="s">
        <v>9</v>
      </c>
      <c r="C27" s="13">
        <v>6217.2706238600022</v>
      </c>
      <c r="D27" s="13">
        <v>189455.74229373419</v>
      </c>
      <c r="E27" s="14">
        <v>3.2816480242761283</v>
      </c>
    </row>
    <row r="28" spans="1:5" x14ac:dyDescent="0.6">
      <c r="A28" s="73">
        <v>2004</v>
      </c>
      <c r="B28" s="6" t="s">
        <v>6</v>
      </c>
      <c r="C28" s="7">
        <v>9363.4579323199778</v>
      </c>
      <c r="D28" s="7">
        <v>198799.36259681371</v>
      </c>
      <c r="E28" s="8">
        <v>4.710004001023921</v>
      </c>
    </row>
    <row r="29" spans="1:5" x14ac:dyDescent="0.6">
      <c r="A29" s="73"/>
      <c r="B29" s="9" t="s">
        <v>7</v>
      </c>
      <c r="C29" s="10">
        <v>4351.4961818657594</v>
      </c>
      <c r="D29" s="10">
        <v>203657.67262611925</v>
      </c>
      <c r="E29" s="11">
        <v>2.1366718600650829</v>
      </c>
    </row>
    <row r="30" spans="1:5" x14ac:dyDescent="0.6">
      <c r="A30" s="73"/>
      <c r="B30" s="9" t="s">
        <v>8</v>
      </c>
      <c r="C30" s="10">
        <v>3284.9130503884412</v>
      </c>
      <c r="D30" s="10">
        <v>203362.19801337237</v>
      </c>
      <c r="E30" s="11">
        <v>1.6153017042884428</v>
      </c>
    </row>
    <row r="31" spans="1:5" x14ac:dyDescent="0.6">
      <c r="A31" s="73"/>
      <c r="B31" s="12" t="s">
        <v>9</v>
      </c>
      <c r="C31" s="13">
        <v>8015.7027005200134</v>
      </c>
      <c r="D31" s="13">
        <v>213523.74310989474</v>
      </c>
      <c r="E31" s="14">
        <v>3.7540100148930762</v>
      </c>
    </row>
    <row r="32" spans="1:5" x14ac:dyDescent="0.6">
      <c r="A32" s="73">
        <v>2005</v>
      </c>
      <c r="B32" s="6" t="s">
        <v>6</v>
      </c>
      <c r="C32" s="7">
        <v>6761.6208839399878</v>
      </c>
      <c r="D32" s="7">
        <v>211290.6265577717</v>
      </c>
      <c r="E32" s="8">
        <v>3.2001518449239894</v>
      </c>
    </row>
    <row r="33" spans="1:5" x14ac:dyDescent="0.6">
      <c r="A33" s="73"/>
      <c r="B33" s="9" t="s">
        <v>7</v>
      </c>
      <c r="C33" s="10">
        <v>6773.6153674899961</v>
      </c>
      <c r="D33" s="10">
        <v>229292.61098175906</v>
      </c>
      <c r="E33" s="11">
        <v>2.954135913271474</v>
      </c>
    </row>
    <row r="34" spans="1:5" x14ac:dyDescent="0.6">
      <c r="A34" s="73"/>
      <c r="B34" s="9" t="s">
        <v>8</v>
      </c>
      <c r="C34" s="10">
        <v>5478.9247877962507</v>
      </c>
      <c r="D34" s="10">
        <v>234792.48594626292</v>
      </c>
      <c r="E34" s="11">
        <v>2.3335179427548693</v>
      </c>
    </row>
    <row r="35" spans="1:5" x14ac:dyDescent="0.6">
      <c r="A35" s="73"/>
      <c r="B35" s="12" t="s">
        <v>9</v>
      </c>
      <c r="C35" s="13">
        <v>6781.6637614100327</v>
      </c>
      <c r="D35" s="13">
        <v>243387.41770787464</v>
      </c>
      <c r="E35" s="11">
        <v>2.7863657970806499</v>
      </c>
    </row>
    <row r="36" spans="1:5" x14ac:dyDescent="0.6">
      <c r="A36" s="68">
        <v>2006</v>
      </c>
      <c r="B36" s="15" t="s">
        <v>6</v>
      </c>
      <c r="C36" s="16">
        <v>7437.8564357716077</v>
      </c>
      <c r="D36" s="26">
        <v>248893.09923593901</v>
      </c>
      <c r="E36" s="17">
        <f>C36/D36*100</f>
        <v>2.9883739077558227</v>
      </c>
    </row>
    <row r="37" spans="1:5" x14ac:dyDescent="0.6">
      <c r="A37" s="68"/>
      <c r="B37" s="18" t="s">
        <v>7</v>
      </c>
      <c r="C37" s="19">
        <v>6634.3109912895179</v>
      </c>
      <c r="D37" s="27">
        <v>250978.37581385652</v>
      </c>
      <c r="E37" s="20">
        <f t="shared" ref="E37:E100" si="0">C37/D37*100</f>
        <v>2.6433795221505445</v>
      </c>
    </row>
    <row r="38" spans="1:5" x14ac:dyDescent="0.6">
      <c r="A38" s="68"/>
      <c r="B38" s="18" t="s">
        <v>8</v>
      </c>
      <c r="C38" s="19">
        <v>2346.7229354590299</v>
      </c>
      <c r="D38" s="27">
        <v>256874.36271010299</v>
      </c>
      <c r="E38" s="20">
        <f t="shared" si="0"/>
        <v>0.91356837276417391</v>
      </c>
    </row>
    <row r="39" spans="1:5" x14ac:dyDescent="0.6">
      <c r="A39" s="68"/>
      <c r="B39" s="21" t="s">
        <v>9</v>
      </c>
      <c r="C39" s="22">
        <v>4817.9585849310697</v>
      </c>
      <c r="D39" s="29">
        <v>263010.90753488085</v>
      </c>
      <c r="E39" s="20">
        <f t="shared" si="0"/>
        <v>1.8318474431681528</v>
      </c>
    </row>
    <row r="40" spans="1:5" x14ac:dyDescent="0.6">
      <c r="A40" s="68">
        <v>2007</v>
      </c>
      <c r="B40" s="15" t="s">
        <v>6</v>
      </c>
      <c r="C40" s="16">
        <v>10815.781410870057</v>
      </c>
      <c r="D40" s="26">
        <v>259277.83558227753</v>
      </c>
      <c r="E40" s="17">
        <f t="shared" si="0"/>
        <v>4.1715025067917333</v>
      </c>
    </row>
    <row r="41" spans="1:5" x14ac:dyDescent="0.6">
      <c r="A41" s="68"/>
      <c r="B41" s="18" t="s">
        <v>7</v>
      </c>
      <c r="C41" s="19">
        <v>6137.6383039077155</v>
      </c>
      <c r="D41" s="27">
        <v>276412.71378799563</v>
      </c>
      <c r="E41" s="20">
        <f t="shared" si="0"/>
        <v>2.2204616494649341</v>
      </c>
    </row>
    <row r="42" spans="1:5" x14ac:dyDescent="0.6">
      <c r="A42" s="68"/>
      <c r="B42" s="18" t="s">
        <v>8</v>
      </c>
      <c r="C42" s="19">
        <v>7628.6535878138066</v>
      </c>
      <c r="D42" s="27">
        <v>276628.31542623136</v>
      </c>
      <c r="E42" s="20">
        <f t="shared" si="0"/>
        <v>2.7577269434835365</v>
      </c>
    </row>
    <row r="43" spans="1:5" x14ac:dyDescent="0.6">
      <c r="A43" s="68"/>
      <c r="B43" s="21" t="s">
        <v>9</v>
      </c>
      <c r="C43" s="22">
        <v>7811.9645158699423</v>
      </c>
      <c r="D43" s="29">
        <v>290399.17982813524</v>
      </c>
      <c r="E43" s="23">
        <f t="shared" si="0"/>
        <v>2.6900780231174339</v>
      </c>
    </row>
    <row r="44" spans="1:5" x14ac:dyDescent="0.6">
      <c r="A44" s="68">
        <v>2008</v>
      </c>
      <c r="B44" s="15" t="s">
        <v>6</v>
      </c>
      <c r="C44" s="16">
        <v>8554.8315152352734</v>
      </c>
      <c r="D44" s="26">
        <v>284448.02635870135</v>
      </c>
      <c r="E44" s="17">
        <f t="shared" si="0"/>
        <v>3.0075200818750836</v>
      </c>
    </row>
    <row r="45" spans="1:5" x14ac:dyDescent="0.6">
      <c r="A45" s="68"/>
      <c r="B45" s="18" t="s">
        <v>7</v>
      </c>
      <c r="C45" s="19">
        <v>8376.7569183731575</v>
      </c>
      <c r="D45" s="27">
        <v>317753.52730407886</v>
      </c>
      <c r="E45" s="20">
        <f t="shared" si="0"/>
        <v>2.6362435657108847</v>
      </c>
    </row>
    <row r="46" spans="1:5" x14ac:dyDescent="0.6">
      <c r="A46" s="68"/>
      <c r="B46" s="18" t="s">
        <v>8</v>
      </c>
      <c r="C46" s="19">
        <v>5644.1373640638449</v>
      </c>
      <c r="D46" s="27">
        <v>318323.07141264924</v>
      </c>
      <c r="E46" s="20">
        <f t="shared" si="0"/>
        <v>1.7730846020731008</v>
      </c>
    </row>
    <row r="47" spans="1:5" x14ac:dyDescent="0.6">
      <c r="A47" s="68"/>
      <c r="B47" s="21" t="s">
        <v>9</v>
      </c>
      <c r="C47" s="22">
        <v>6945.6932731704892</v>
      </c>
      <c r="D47" s="29">
        <v>249588.09339900329</v>
      </c>
      <c r="E47" s="23">
        <f t="shared" si="0"/>
        <v>2.7828624268813886</v>
      </c>
    </row>
    <row r="48" spans="1:5" x14ac:dyDescent="0.6">
      <c r="A48" s="68">
        <v>2009</v>
      </c>
      <c r="B48" s="15" t="s">
        <v>6</v>
      </c>
      <c r="C48" s="16">
        <v>6105.2954136300341</v>
      </c>
      <c r="D48" s="26">
        <v>211607.00859461247</v>
      </c>
      <c r="E48" s="17">
        <f t="shared" si="0"/>
        <v>2.8852047265250529</v>
      </c>
    </row>
    <row r="49" spans="1:5" x14ac:dyDescent="0.6">
      <c r="A49" s="68"/>
      <c r="B49" s="18" t="s">
        <v>7</v>
      </c>
      <c r="C49" s="19">
        <v>6094.493354614352</v>
      </c>
      <c r="D49" s="27">
        <v>234086.30109639521</v>
      </c>
      <c r="E49" s="20">
        <f t="shared" si="0"/>
        <v>2.6035241387767836</v>
      </c>
    </row>
    <row r="50" spans="1:5" x14ac:dyDescent="0.6">
      <c r="A50" s="68"/>
      <c r="B50" s="18" t="s">
        <v>8</v>
      </c>
      <c r="C50" s="19">
        <v>2398.0365921942885</v>
      </c>
      <c r="D50" s="27">
        <v>242899.30115038285</v>
      </c>
      <c r="E50" s="20">
        <f t="shared" si="0"/>
        <v>0.98725545147189431</v>
      </c>
    </row>
    <row r="51" spans="1:5" x14ac:dyDescent="0.6">
      <c r="A51" s="68"/>
      <c r="B51" s="21" t="s">
        <v>9</v>
      </c>
      <c r="C51" s="22">
        <v>3253.4346149189305</v>
      </c>
      <c r="D51" s="29">
        <v>257721.78115300712</v>
      </c>
      <c r="E51" s="20">
        <f t="shared" si="0"/>
        <v>1.2623824809698159</v>
      </c>
    </row>
    <row r="52" spans="1:5" x14ac:dyDescent="0.6">
      <c r="A52" s="68">
        <v>2010</v>
      </c>
      <c r="B52" s="15" t="s">
        <v>6</v>
      </c>
      <c r="C52" s="16">
        <v>8722.7916987426652</v>
      </c>
      <c r="D52" s="26">
        <v>261684.11838726062</v>
      </c>
      <c r="E52" s="17">
        <f t="shared" si="0"/>
        <v>3.3333286530724786</v>
      </c>
    </row>
    <row r="53" spans="1:5" x14ac:dyDescent="0.6">
      <c r="A53" s="68"/>
      <c r="B53" s="18" t="s">
        <v>7</v>
      </c>
      <c r="C53" s="19">
        <v>9301.6213772700157</v>
      </c>
      <c r="D53" s="27">
        <v>275396.3246110343</v>
      </c>
      <c r="E53" s="20">
        <f t="shared" si="0"/>
        <v>3.3775401289060367</v>
      </c>
    </row>
    <row r="54" spans="1:5" x14ac:dyDescent="0.6">
      <c r="A54" s="68"/>
      <c r="B54" s="18" t="s">
        <v>8</v>
      </c>
      <c r="C54" s="19">
        <v>3942.0841229426032</v>
      </c>
      <c r="D54" s="27">
        <v>274384.88138117373</v>
      </c>
      <c r="E54" s="20">
        <f t="shared" si="0"/>
        <v>1.4366987361327264</v>
      </c>
    </row>
    <row r="55" spans="1:5" x14ac:dyDescent="0.6">
      <c r="A55" s="68"/>
      <c r="B55" s="21" t="s">
        <v>9</v>
      </c>
      <c r="C55" s="22">
        <v>5232.5043760000099</v>
      </c>
      <c r="D55" s="29">
        <v>295012.62782325421</v>
      </c>
      <c r="E55" s="23">
        <f t="shared" si="0"/>
        <v>1.7736543735798556</v>
      </c>
    </row>
    <row r="56" spans="1:5" x14ac:dyDescent="0.6">
      <c r="A56" s="68">
        <v>2011</v>
      </c>
      <c r="B56" s="15" t="s">
        <v>6</v>
      </c>
      <c r="C56" s="16">
        <v>8431.2191248084346</v>
      </c>
      <c r="D56" s="26">
        <v>300287.98700586596</v>
      </c>
      <c r="E56" s="17">
        <f t="shared" si="0"/>
        <v>2.8077110938985834</v>
      </c>
    </row>
    <row r="57" spans="1:5" x14ac:dyDescent="0.6">
      <c r="A57" s="68"/>
      <c r="B57" s="18" t="s">
        <v>7</v>
      </c>
      <c r="C57" s="19">
        <v>6697.4453847119985</v>
      </c>
      <c r="D57" s="27">
        <v>318165.07447568618</v>
      </c>
      <c r="E57" s="20">
        <f t="shared" si="0"/>
        <v>2.1050221793667707</v>
      </c>
    </row>
    <row r="58" spans="1:5" x14ac:dyDescent="0.6">
      <c r="A58" s="68"/>
      <c r="B58" s="18" t="s">
        <v>8</v>
      </c>
      <c r="C58" s="19">
        <v>4349.890992388333</v>
      </c>
      <c r="D58" s="27">
        <v>311464.14577358461</v>
      </c>
      <c r="E58" s="20">
        <f t="shared" si="0"/>
        <v>1.3965944560278336</v>
      </c>
    </row>
    <row r="59" spans="1:5" x14ac:dyDescent="0.6">
      <c r="A59" s="68"/>
      <c r="B59" s="21" t="s">
        <v>9</v>
      </c>
      <c r="C59" s="22">
        <v>6154.0092889798389</v>
      </c>
      <c r="D59" s="29">
        <v>299238.71164675051</v>
      </c>
      <c r="E59" s="23">
        <f t="shared" si="0"/>
        <v>2.0565552014020865</v>
      </c>
    </row>
    <row r="60" spans="1:5" x14ac:dyDescent="0.6">
      <c r="A60" s="68">
        <v>2012</v>
      </c>
      <c r="B60" s="15" t="s">
        <v>6</v>
      </c>
      <c r="C60" s="16">
        <v>7892.6936246853675</v>
      </c>
      <c r="D60" s="26">
        <v>309784.51381752087</v>
      </c>
      <c r="E60" s="17">
        <f t="shared" si="0"/>
        <v>2.5478012207332523</v>
      </c>
    </row>
    <row r="61" spans="1:5" x14ac:dyDescent="0.6">
      <c r="A61" s="68"/>
      <c r="B61" s="18" t="s">
        <v>7</v>
      </c>
      <c r="C61" s="19">
        <v>5622.1308966418583</v>
      </c>
      <c r="D61" s="27">
        <v>301893.44161852729</v>
      </c>
      <c r="E61" s="20">
        <f t="shared" si="0"/>
        <v>1.8622898419058689</v>
      </c>
    </row>
    <row r="62" spans="1:5" x14ac:dyDescent="0.6">
      <c r="A62" s="68"/>
      <c r="B62" s="18" t="s">
        <v>8</v>
      </c>
      <c r="C62" s="19">
        <v>5736.2922657135723</v>
      </c>
      <c r="D62" s="27">
        <v>314736.5259176477</v>
      </c>
      <c r="E62" s="20">
        <f t="shared" si="0"/>
        <v>1.8225696077024438</v>
      </c>
    </row>
    <row r="63" spans="1:5" x14ac:dyDescent="0.6">
      <c r="A63" s="68"/>
      <c r="B63" s="21" t="s">
        <v>9</v>
      </c>
      <c r="C63" s="22">
        <v>2518.2153452201637</v>
      </c>
      <c r="D63" s="29">
        <v>329251.85414120281</v>
      </c>
      <c r="E63" s="23">
        <f t="shared" si="0"/>
        <v>0.7648295107672205</v>
      </c>
    </row>
    <row r="64" spans="1:5" x14ac:dyDescent="0.6">
      <c r="A64" s="68">
        <v>2013</v>
      </c>
      <c r="B64" s="15" t="s">
        <v>6</v>
      </c>
      <c r="C64" s="16">
        <v>10571.579649062274</v>
      </c>
      <c r="D64" s="26">
        <v>324418.84089684486</v>
      </c>
      <c r="E64" s="17">
        <f t="shared" si="0"/>
        <v>3.2586207446637503</v>
      </c>
    </row>
    <row r="65" spans="1:5" x14ac:dyDescent="0.6">
      <c r="A65" s="68"/>
      <c r="B65" s="18" t="s">
        <v>7</v>
      </c>
      <c r="C65" s="19">
        <v>21019.149824980846</v>
      </c>
      <c r="D65" s="27">
        <v>337499.14348051668</v>
      </c>
      <c r="E65" s="20">
        <f t="shared" si="0"/>
        <v>6.2279120498550986</v>
      </c>
    </row>
    <row r="66" spans="1:5" x14ac:dyDescent="0.6">
      <c r="A66" s="68"/>
      <c r="B66" s="18" t="s">
        <v>8</v>
      </c>
      <c r="C66" s="19">
        <v>4178.8102629067153</v>
      </c>
      <c r="D66" s="27">
        <v>328779.78823836445</v>
      </c>
      <c r="E66" s="20">
        <f t="shared" si="0"/>
        <v>1.2710058259046901</v>
      </c>
    </row>
    <row r="67" spans="1:5" x14ac:dyDescent="0.6">
      <c r="A67" s="68"/>
      <c r="B67" s="21" t="s">
        <v>9</v>
      </c>
      <c r="C67" s="22">
        <v>12587.220274832252</v>
      </c>
      <c r="D67" s="29">
        <v>337168.27814395656</v>
      </c>
      <c r="E67" s="20">
        <f t="shared" si="0"/>
        <v>3.7332160498972096</v>
      </c>
    </row>
    <row r="68" spans="1:5" x14ac:dyDescent="0.6">
      <c r="A68" s="68">
        <v>2014</v>
      </c>
      <c r="B68" s="15" t="s">
        <v>6</v>
      </c>
      <c r="C68" s="16">
        <v>13828.000864523021</v>
      </c>
      <c r="D68" s="26">
        <v>328832.36553436005</v>
      </c>
      <c r="E68" s="17">
        <f t="shared" si="0"/>
        <v>4.2051824314958184</v>
      </c>
    </row>
    <row r="69" spans="1:5" x14ac:dyDescent="0.6">
      <c r="A69" s="68"/>
      <c r="B69" s="18" t="s">
        <v>7</v>
      </c>
      <c r="C69" s="19">
        <v>5478.9218144462302</v>
      </c>
      <c r="D69" s="27">
        <v>347075.07403253263</v>
      </c>
      <c r="E69" s="20">
        <f t="shared" si="0"/>
        <v>1.5785984717337178</v>
      </c>
    </row>
    <row r="70" spans="1:5" x14ac:dyDescent="0.6">
      <c r="A70" s="68"/>
      <c r="B70" s="18" t="s">
        <v>8</v>
      </c>
      <c r="C70" s="19">
        <v>3222.1242099690189</v>
      </c>
      <c r="D70" s="27">
        <v>347222.22054025647</v>
      </c>
      <c r="E70" s="20">
        <f t="shared" si="0"/>
        <v>0.92797177696622968</v>
      </c>
    </row>
    <row r="71" spans="1:5" x14ac:dyDescent="0.6">
      <c r="A71" s="65"/>
      <c r="B71" s="21" t="s">
        <v>9</v>
      </c>
      <c r="C71" s="22">
        <v>7822.4502266866257</v>
      </c>
      <c r="D71" s="29">
        <v>340493.02041039919</v>
      </c>
      <c r="E71" s="23">
        <f t="shared" si="0"/>
        <v>2.2973893025055725</v>
      </c>
    </row>
    <row r="72" spans="1:5" x14ac:dyDescent="0.6">
      <c r="A72" s="65">
        <v>2015</v>
      </c>
      <c r="B72" s="15" t="s">
        <v>6</v>
      </c>
      <c r="C72" s="24">
        <v>12136.455959530873</v>
      </c>
      <c r="D72" s="61">
        <v>307553.05940105609</v>
      </c>
      <c r="E72" s="17">
        <f t="shared" si="0"/>
        <v>3.9461340372181639</v>
      </c>
    </row>
    <row r="73" spans="1:5" x14ac:dyDescent="0.6">
      <c r="A73" s="66"/>
      <c r="B73" s="18" t="s">
        <v>7</v>
      </c>
      <c r="C73" s="25">
        <v>6656.8488480026253</v>
      </c>
      <c r="D73" s="34">
        <v>311283.87371456879</v>
      </c>
      <c r="E73" s="20">
        <f t="shared" si="0"/>
        <v>2.1385138807757871</v>
      </c>
    </row>
    <row r="74" spans="1:5" x14ac:dyDescent="0.6">
      <c r="A74" s="66"/>
      <c r="B74" s="18" t="s">
        <v>8</v>
      </c>
      <c r="C74" s="25">
        <v>9635.6377676483353</v>
      </c>
      <c r="D74" s="34">
        <v>296233.30870193918</v>
      </c>
      <c r="E74" s="20">
        <f t="shared" si="0"/>
        <v>3.2527192198171804</v>
      </c>
    </row>
    <row r="75" spans="1:5" x14ac:dyDescent="0.6">
      <c r="A75" s="66"/>
      <c r="B75" s="18" t="s">
        <v>9</v>
      </c>
      <c r="C75" s="25">
        <v>7516.2303818237178</v>
      </c>
      <c r="D75" s="34">
        <v>297860.50468610349</v>
      </c>
      <c r="E75" s="23">
        <f t="shared" si="0"/>
        <v>2.5234061795955798</v>
      </c>
    </row>
    <row r="76" spans="1:5" x14ac:dyDescent="0.6">
      <c r="A76" s="74">
        <v>2016</v>
      </c>
      <c r="B76" s="15" t="s">
        <v>6</v>
      </c>
      <c r="C76" s="16">
        <v>12805.685004525179</v>
      </c>
      <c r="D76" s="26">
        <v>270435.77672962571</v>
      </c>
      <c r="E76" s="17">
        <f t="shared" si="0"/>
        <v>4.7352037364967261</v>
      </c>
    </row>
    <row r="77" spans="1:5" x14ac:dyDescent="0.6">
      <c r="A77" s="75"/>
      <c r="B77" s="18" t="s">
        <v>7</v>
      </c>
      <c r="C77" s="19">
        <v>6210.7469518721646</v>
      </c>
      <c r="D77" s="27">
        <v>283817.96239817113</v>
      </c>
      <c r="E77" s="20">
        <f t="shared" si="0"/>
        <v>2.188285371155982</v>
      </c>
    </row>
    <row r="78" spans="1:5" x14ac:dyDescent="0.6">
      <c r="A78" s="75"/>
      <c r="B78" s="18" t="s">
        <v>8</v>
      </c>
      <c r="C78" s="19">
        <v>4320.0985201552676</v>
      </c>
      <c r="D78" s="27">
        <v>278994.8534972046</v>
      </c>
      <c r="E78" s="20">
        <f t="shared" si="0"/>
        <v>1.548450971766242</v>
      </c>
    </row>
    <row r="79" spans="1:5" x14ac:dyDescent="0.6">
      <c r="A79" s="75"/>
      <c r="B79" s="21" t="s">
        <v>9</v>
      </c>
      <c r="C79" s="22">
        <v>7855.7742798719855</v>
      </c>
      <c r="D79" s="29">
        <v>277408.46782317321</v>
      </c>
      <c r="E79" s="23">
        <f t="shared" si="0"/>
        <v>2.831843721828796</v>
      </c>
    </row>
    <row r="80" spans="1:5" x14ac:dyDescent="0.6">
      <c r="A80" s="65">
        <v>2017</v>
      </c>
      <c r="B80" s="15" t="s">
        <v>6</v>
      </c>
      <c r="C80" s="16">
        <v>13780.315352408652</v>
      </c>
      <c r="D80" s="26">
        <v>269628.38172296097</v>
      </c>
      <c r="E80" s="17">
        <f t="shared" si="0"/>
        <v>5.1108548975262238</v>
      </c>
    </row>
    <row r="81" spans="1:7" x14ac:dyDescent="0.6">
      <c r="A81" s="66"/>
      <c r="B81" s="18" t="s">
        <v>7</v>
      </c>
      <c r="C81" s="19">
        <v>6837.3419401765786</v>
      </c>
      <c r="D81" s="27">
        <v>301327.52340967639</v>
      </c>
      <c r="E81" s="20">
        <f t="shared" si="0"/>
        <v>2.2690731542902314</v>
      </c>
    </row>
    <row r="82" spans="1:7" x14ac:dyDescent="0.6">
      <c r="A82" s="66"/>
      <c r="B82" s="18" t="s">
        <v>8</v>
      </c>
      <c r="C82" s="19">
        <v>6361.5013980808271</v>
      </c>
      <c r="D82" s="27">
        <v>314539.84305210464</v>
      </c>
      <c r="E82" s="20">
        <f t="shared" si="0"/>
        <v>2.0224787220444509</v>
      </c>
    </row>
    <row r="83" spans="1:7" s="28" customFormat="1" ht="18.75" customHeight="1" x14ac:dyDescent="0.6">
      <c r="A83" s="66"/>
      <c r="B83" s="18" t="s">
        <v>9</v>
      </c>
      <c r="C83" s="19">
        <v>7062.6647916455304</v>
      </c>
      <c r="D83" s="27">
        <v>309112.08076700964</v>
      </c>
      <c r="E83" s="20">
        <f t="shared" si="0"/>
        <v>2.2848232829078423</v>
      </c>
      <c r="G83" s="3"/>
    </row>
    <row r="84" spans="1:7" s="28" customFormat="1" x14ac:dyDescent="0.6">
      <c r="A84" s="65">
        <v>2018</v>
      </c>
      <c r="B84" s="15" t="s">
        <v>6</v>
      </c>
      <c r="C84" s="16">
        <v>14075.40459729129</v>
      </c>
      <c r="D84" s="26">
        <v>309306.19001525006</v>
      </c>
      <c r="E84" s="17">
        <f t="shared" si="0"/>
        <v>4.5506378635995981</v>
      </c>
      <c r="G84" s="3"/>
    </row>
    <row r="85" spans="1:7" s="28" customFormat="1" x14ac:dyDescent="0.6">
      <c r="A85" s="66"/>
      <c r="B85" s="18" t="s">
        <v>7</v>
      </c>
      <c r="C85" s="19">
        <v>9579.7159451963635</v>
      </c>
      <c r="D85" s="27">
        <v>310566.05516686774</v>
      </c>
      <c r="E85" s="20">
        <f t="shared" si="0"/>
        <v>3.0845985212547342</v>
      </c>
      <c r="G85" s="3"/>
    </row>
    <row r="86" spans="1:7" s="28" customFormat="1" x14ac:dyDescent="0.6">
      <c r="A86" s="66"/>
      <c r="B86" s="18" t="s">
        <v>8</v>
      </c>
      <c r="C86" s="19">
        <v>4133.5158426340558</v>
      </c>
      <c r="D86" s="27">
        <v>319959.24472690292</v>
      </c>
      <c r="E86" s="20">
        <f t="shared" si="0"/>
        <v>1.2918882360039838</v>
      </c>
      <c r="G86" s="3"/>
    </row>
    <row r="87" spans="1:7" s="28" customFormat="1" x14ac:dyDescent="0.6">
      <c r="A87" s="67"/>
      <c r="B87" s="21" t="s">
        <v>9</v>
      </c>
      <c r="C87" s="22">
        <v>6322.2748553898646</v>
      </c>
      <c r="D87" s="29">
        <v>316983.79505688825</v>
      </c>
      <c r="E87" s="23">
        <f t="shared" si="0"/>
        <v>1.9945104304954209</v>
      </c>
      <c r="G87" s="3"/>
    </row>
    <row r="88" spans="1:7" s="28" customFormat="1" x14ac:dyDescent="0.6">
      <c r="A88" s="65">
        <v>2019</v>
      </c>
      <c r="B88" s="15" t="s">
        <v>6</v>
      </c>
      <c r="C88" s="16">
        <v>15213.116431553977</v>
      </c>
      <c r="D88" s="26">
        <v>319528.63940706779</v>
      </c>
      <c r="E88" s="17">
        <f t="shared" si="0"/>
        <v>4.7611120116757428</v>
      </c>
      <c r="G88" s="3"/>
    </row>
    <row r="89" spans="1:7" s="28" customFormat="1" x14ac:dyDescent="0.6">
      <c r="A89" s="66"/>
      <c r="B89" s="18" t="s">
        <v>7</v>
      </c>
      <c r="C89" s="19">
        <v>6506.8206192988437</v>
      </c>
      <c r="D89" s="27">
        <v>327249.75595708343</v>
      </c>
      <c r="E89" s="20">
        <f t="shared" si="0"/>
        <v>1.9883347507070925</v>
      </c>
      <c r="G89" s="3"/>
    </row>
    <row r="90" spans="1:7" s="28" customFormat="1" x14ac:dyDescent="0.6">
      <c r="A90" s="66"/>
      <c r="B90" s="18" t="s">
        <v>8</v>
      </c>
      <c r="C90" s="19">
        <v>8218.6973039439381</v>
      </c>
      <c r="D90" s="27">
        <v>324000.47720495902</v>
      </c>
      <c r="E90" s="20">
        <f t="shared" si="0"/>
        <v>2.536631234263548</v>
      </c>
      <c r="G90" s="3"/>
    </row>
    <row r="91" spans="1:7" x14ac:dyDescent="0.6">
      <c r="A91" s="67"/>
      <c r="B91" s="21" t="s">
        <v>9</v>
      </c>
      <c r="C91" s="22">
        <v>4681.1140034669561</v>
      </c>
      <c r="D91" s="29">
        <v>333915.60225020751</v>
      </c>
      <c r="E91" s="23">
        <f t="shared" si="0"/>
        <v>1.4018853781978518</v>
      </c>
    </row>
    <row r="92" spans="1:7" x14ac:dyDescent="0.6">
      <c r="A92" s="74">
        <v>2020</v>
      </c>
      <c r="B92" s="18" t="s">
        <v>6</v>
      </c>
      <c r="C92" s="16">
        <v>16782.618658183317</v>
      </c>
      <c r="D92" s="26">
        <v>316182.44727472868</v>
      </c>
      <c r="E92" s="17">
        <f t="shared" si="0"/>
        <v>5.3078906823695435</v>
      </c>
    </row>
    <row r="93" spans="1:7" x14ac:dyDescent="0.6">
      <c r="A93" s="75"/>
      <c r="B93" s="18" t="s">
        <v>7</v>
      </c>
      <c r="C93" s="19">
        <v>7312.7951377603413</v>
      </c>
      <c r="D93" s="27">
        <v>223195.62171241501</v>
      </c>
      <c r="E93" s="20">
        <f t="shared" si="0"/>
        <v>3.2764061775292319</v>
      </c>
    </row>
    <row r="94" spans="1:7" x14ac:dyDescent="0.6">
      <c r="A94" s="75"/>
      <c r="B94" s="18" t="s">
        <v>8</v>
      </c>
      <c r="C94" s="19">
        <v>1337.7820705489009</v>
      </c>
      <c r="D94" s="27">
        <v>274440.51939939172</v>
      </c>
      <c r="E94" s="20">
        <f t="shared" si="0"/>
        <v>0.48745792839796892</v>
      </c>
    </row>
    <row r="95" spans="1:7" x14ac:dyDescent="0.6">
      <c r="A95" s="76"/>
      <c r="B95" s="21" t="s">
        <v>9</v>
      </c>
      <c r="C95" s="22">
        <v>2782.0905551690689</v>
      </c>
      <c r="D95" s="29">
        <v>315771.52497672429</v>
      </c>
      <c r="E95" s="23">
        <f t="shared" si="0"/>
        <v>0.88104541895414368</v>
      </c>
    </row>
    <row r="96" spans="1:7" x14ac:dyDescent="0.6">
      <c r="A96" s="74">
        <v>2021</v>
      </c>
      <c r="B96" s="15" t="s">
        <v>6</v>
      </c>
      <c r="C96" s="16">
        <v>16503.338739883602</v>
      </c>
      <c r="D96" s="26">
        <v>315405.41023646464</v>
      </c>
      <c r="E96" s="17">
        <f t="shared" si="0"/>
        <v>5.2324209427830599</v>
      </c>
    </row>
    <row r="97" spans="1:7" x14ac:dyDescent="0.6">
      <c r="A97" s="75"/>
      <c r="B97" s="18" t="s">
        <v>7</v>
      </c>
      <c r="C97" s="19">
        <v>5927.4183546739514</v>
      </c>
      <c r="D97" s="27">
        <v>332929.49991644133</v>
      </c>
      <c r="E97" s="20">
        <f t="shared" si="0"/>
        <v>1.7803824401747561</v>
      </c>
    </row>
    <row r="98" spans="1:7" x14ac:dyDescent="0.6">
      <c r="A98" s="75"/>
      <c r="B98" s="18" t="s">
        <v>8</v>
      </c>
      <c r="C98" s="19">
        <v>6432.6462084656587</v>
      </c>
      <c r="D98" s="27">
        <v>332127.07080443541</v>
      </c>
      <c r="E98" s="20">
        <f t="shared" si="0"/>
        <v>1.9368027402540031</v>
      </c>
    </row>
    <row r="99" spans="1:7" x14ac:dyDescent="0.6">
      <c r="A99" s="76"/>
      <c r="B99" s="21" t="s">
        <v>9</v>
      </c>
      <c r="C99" s="22">
        <v>4983.6119031798971</v>
      </c>
      <c r="D99" s="29">
        <v>335415.86567312729</v>
      </c>
      <c r="E99" s="23">
        <f t="shared" si="0"/>
        <v>1.485800885768646</v>
      </c>
    </row>
    <row r="100" spans="1:7" x14ac:dyDescent="0.6">
      <c r="A100" s="74">
        <v>2022</v>
      </c>
      <c r="B100" s="15" t="s">
        <v>6</v>
      </c>
      <c r="C100" s="16">
        <v>22783.230884297209</v>
      </c>
      <c r="D100" s="26">
        <v>340682.64440828742</v>
      </c>
      <c r="E100" s="17">
        <f t="shared" si="0"/>
        <v>6.6875232003286005</v>
      </c>
    </row>
    <row r="101" spans="1:7" x14ac:dyDescent="0.6">
      <c r="A101" s="75"/>
      <c r="B101" s="18" t="s">
        <v>7</v>
      </c>
      <c r="C101" s="19">
        <v>8389.5554570227341</v>
      </c>
      <c r="D101" s="27">
        <v>366895.90907611931</v>
      </c>
      <c r="E101" s="20">
        <f t="shared" ref="E101:E114" si="1">C101/D101*100</f>
        <v>2.2866309624842849</v>
      </c>
    </row>
    <row r="102" spans="1:7" x14ac:dyDescent="0.6">
      <c r="A102" s="75"/>
      <c r="B102" s="18" t="s">
        <v>8</v>
      </c>
      <c r="C102" s="19">
        <v>3449.3645464216743</v>
      </c>
      <c r="D102" s="27">
        <v>367362.23472705344</v>
      </c>
      <c r="E102" s="20">
        <f t="shared" si="1"/>
        <v>0.93895458497102147</v>
      </c>
    </row>
    <row r="103" spans="1:7" x14ac:dyDescent="0.6">
      <c r="A103" s="75"/>
      <c r="B103" s="18" t="s">
        <v>9</v>
      </c>
      <c r="C103" s="19">
        <v>1797.3013079805078</v>
      </c>
      <c r="D103" s="27">
        <v>393670.26985246787</v>
      </c>
      <c r="E103" s="23">
        <f t="shared" si="1"/>
        <v>0.4565499215000578</v>
      </c>
    </row>
    <row r="104" spans="1:7" x14ac:dyDescent="0.6">
      <c r="A104" s="74">
        <v>2023</v>
      </c>
      <c r="B104" s="15" t="s">
        <v>6</v>
      </c>
      <c r="C104" s="16">
        <v>23658.664414511535</v>
      </c>
      <c r="D104" s="26">
        <v>408957.01456160756</v>
      </c>
      <c r="E104" s="17">
        <f t="shared" si="1"/>
        <v>5.7851225366248027</v>
      </c>
    </row>
    <row r="105" spans="1:7" x14ac:dyDescent="0.6">
      <c r="A105" s="75"/>
      <c r="B105" s="18" t="s">
        <v>7</v>
      </c>
      <c r="C105" s="19">
        <v>8644.3271284598413</v>
      </c>
      <c r="D105" s="27">
        <v>447963.79268235742</v>
      </c>
      <c r="E105" s="20">
        <f t="shared" si="1"/>
        <v>1.9296932630868604</v>
      </c>
    </row>
    <row r="106" spans="1:7" x14ac:dyDescent="0.6">
      <c r="A106" s="75"/>
      <c r="B106" s="18" t="s">
        <v>8</v>
      </c>
      <c r="C106" s="19">
        <v>2911.175633376753</v>
      </c>
      <c r="D106" s="27">
        <v>470460.69627829769</v>
      </c>
      <c r="E106" s="20">
        <f t="shared" si="1"/>
        <v>0.61879252749621139</v>
      </c>
    </row>
    <row r="107" spans="1:7" x14ac:dyDescent="0.6">
      <c r="A107" s="76"/>
      <c r="B107" s="21" t="s">
        <v>9</v>
      </c>
      <c r="C107" s="22">
        <v>1261.3670318179013</v>
      </c>
      <c r="D107" s="29">
        <v>472269.39523537492</v>
      </c>
      <c r="E107" s="23">
        <f t="shared" si="1"/>
        <v>0.26708633770122814</v>
      </c>
    </row>
    <row r="108" spans="1:7" x14ac:dyDescent="0.6">
      <c r="A108" s="74">
        <v>2024</v>
      </c>
      <c r="B108" s="15" t="s">
        <v>6</v>
      </c>
      <c r="C108" s="16">
        <v>27216.220855023865</v>
      </c>
      <c r="D108" s="26">
        <v>470189.19375172973</v>
      </c>
      <c r="E108" s="17">
        <f t="shared" si="1"/>
        <v>5.7883552443773576</v>
      </c>
      <c r="G108" s="60"/>
    </row>
    <row r="109" spans="1:7" x14ac:dyDescent="0.6">
      <c r="A109" s="75"/>
      <c r="B109" s="18" t="s">
        <v>7</v>
      </c>
      <c r="C109" s="19">
        <v>6481.5999923894906</v>
      </c>
      <c r="D109" s="27">
        <v>485945.94959658332</v>
      </c>
      <c r="E109" s="20">
        <f t="shared" si="1"/>
        <v>1.333810889414822</v>
      </c>
      <c r="G109" s="60"/>
    </row>
    <row r="110" spans="1:7" x14ac:dyDescent="0.6">
      <c r="A110" s="75"/>
      <c r="B110" s="18" t="s">
        <v>8</v>
      </c>
      <c r="C110" s="19">
        <v>3063.0804967717627</v>
      </c>
      <c r="D110" s="27">
        <v>446527.88174155448</v>
      </c>
      <c r="E110" s="20">
        <f t="shared" si="1"/>
        <v>0.68597743209787754</v>
      </c>
      <c r="G110" s="60"/>
    </row>
    <row r="111" spans="1:7" x14ac:dyDescent="0.6">
      <c r="A111" s="75"/>
      <c r="B111" s="18" t="s">
        <v>9</v>
      </c>
      <c r="C111" s="19">
        <v>1173.8011058394311</v>
      </c>
      <c r="D111" s="27">
        <v>432027.02785248193</v>
      </c>
      <c r="E111" s="20">
        <f t="shared" si="1"/>
        <v>0.27169622041337471</v>
      </c>
      <c r="G111" s="60"/>
    </row>
    <row r="112" spans="1:7" x14ac:dyDescent="0.6">
      <c r="A112" s="77">
        <v>2025</v>
      </c>
      <c r="B112" s="15" t="s">
        <v>6</v>
      </c>
      <c r="C112" s="16">
        <v>24411.733749407431</v>
      </c>
      <c r="D112" s="16">
        <v>419022.6882656595</v>
      </c>
      <c r="E112" s="17">
        <f t="shared" si="1"/>
        <v>5.8258739760483911</v>
      </c>
      <c r="G112" s="60"/>
    </row>
    <row r="113" spans="1:11" x14ac:dyDescent="0.6">
      <c r="A113" s="78"/>
      <c r="B113" s="18" t="s">
        <v>7</v>
      </c>
      <c r="C113" s="19">
        <v>13756.152285866512</v>
      </c>
      <c r="D113" s="19">
        <v>452275.84262282279</v>
      </c>
      <c r="E113" s="20">
        <f t="shared" si="1"/>
        <v>3.0415403586652556</v>
      </c>
      <c r="G113" s="60"/>
    </row>
    <row r="114" spans="1:11" x14ac:dyDescent="0.6">
      <c r="A114" s="78"/>
      <c r="B114" s="18" t="s">
        <v>8</v>
      </c>
      <c r="C114" s="19">
        <v>7728.6572601379657</v>
      </c>
      <c r="D114" s="19">
        <v>472418.96576937591</v>
      </c>
      <c r="E114" s="20">
        <f t="shared" si="1"/>
        <v>1.6359752296462458</v>
      </c>
      <c r="G114" s="60"/>
    </row>
    <row r="115" spans="1:11" x14ac:dyDescent="0.6">
      <c r="A115" s="79"/>
      <c r="B115" s="21" t="s">
        <v>9</v>
      </c>
      <c r="C115" s="22">
        <v>-5025.7739673781398</v>
      </c>
      <c r="D115" s="22">
        <v>495829.37246474187</v>
      </c>
      <c r="E115" s="23">
        <f t="shared" ref="E115" si="2">C115/D115*100</f>
        <v>-1.0136095694362115</v>
      </c>
      <c r="G115" s="60"/>
    </row>
    <row r="116" spans="1:11" x14ac:dyDescent="0.6">
      <c r="A116" s="32"/>
      <c r="B116" s="33"/>
      <c r="C116" s="34"/>
      <c r="D116" s="34"/>
      <c r="E116" s="35"/>
    </row>
    <row r="117" spans="1:11" ht="17.25" customHeight="1" x14ac:dyDescent="0.6">
      <c r="A117" s="30" t="s">
        <v>14</v>
      </c>
    </row>
    <row r="118" spans="1:11" x14ac:dyDescent="0.6">
      <c r="A118" s="31" t="s">
        <v>10</v>
      </c>
    </row>
    <row r="119" spans="1:11" ht="62.25" customHeight="1" x14ac:dyDescent="0.6">
      <c r="A119" s="63" t="s">
        <v>15</v>
      </c>
      <c r="B119" s="63"/>
      <c r="C119" s="63"/>
      <c r="D119" s="63"/>
      <c r="E119" s="63"/>
      <c r="F119" s="63"/>
      <c r="G119" s="63"/>
      <c r="H119" s="63"/>
      <c r="I119" s="63"/>
      <c r="J119" s="63"/>
      <c r="K119" s="63"/>
    </row>
    <row r="120" spans="1:11" x14ac:dyDescent="0.6"/>
    <row r="121" spans="1:11" x14ac:dyDescent="0.6"/>
    <row r="122" spans="1:11" x14ac:dyDescent="0.6"/>
  </sheetData>
  <mergeCells count="32">
    <mergeCell ref="A108:A111"/>
    <mergeCell ref="A112:A115"/>
    <mergeCell ref="A92:A95"/>
    <mergeCell ref="A96:A99"/>
    <mergeCell ref="A100:A103"/>
    <mergeCell ref="A88:A91"/>
    <mergeCell ref="A104:A107"/>
    <mergeCell ref="A68:A71"/>
    <mergeCell ref="A72:A75"/>
    <mergeCell ref="A76:A79"/>
    <mergeCell ref="A80:A83"/>
    <mergeCell ref="A44:A47"/>
    <mergeCell ref="A48:A51"/>
    <mergeCell ref="A52:A55"/>
    <mergeCell ref="A56:A59"/>
    <mergeCell ref="A60:A63"/>
    <mergeCell ref="A119:K119"/>
    <mergeCell ref="A1:AB3"/>
    <mergeCell ref="A84:A87"/>
    <mergeCell ref="A40:A43"/>
    <mergeCell ref="A6:A7"/>
    <mergeCell ref="B6:B7"/>
    <mergeCell ref="C7:D7"/>
    <mergeCell ref="A32:A35"/>
    <mergeCell ref="A36:A39"/>
    <mergeCell ref="A8:A11"/>
    <mergeCell ref="A12:A15"/>
    <mergeCell ref="A16:A19"/>
    <mergeCell ref="A20:A23"/>
    <mergeCell ref="A24:A27"/>
    <mergeCell ref="A28:A31"/>
    <mergeCell ref="A64:A67"/>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43"/>
  <sheetViews>
    <sheetView showGridLines="0" topLeftCell="A2" zoomScale="80" zoomScaleNormal="80" workbookViewId="0">
      <selection activeCell="B34" sqref="B34"/>
    </sheetView>
  </sheetViews>
  <sheetFormatPr defaultColWidth="0" defaultRowHeight="0" customHeight="1" zeroHeight="1" x14ac:dyDescent="0.6"/>
  <cols>
    <col min="1" max="1" width="11.3828125" style="3" customWidth="1"/>
    <col min="2" max="2" width="28.3046875" style="3" customWidth="1"/>
    <col min="3" max="3" width="20.69140625" style="3" customWidth="1"/>
    <col min="4" max="4" width="20.53515625" style="3" customWidth="1"/>
    <col min="5" max="5" width="3.3046875" style="3" customWidth="1"/>
    <col min="6" max="6" width="6.15234375" style="3" customWidth="1"/>
    <col min="7" max="18" width="11.3828125" style="3" customWidth="1"/>
    <col min="19" max="19" width="4.69140625" style="3" customWidth="1"/>
    <col min="20" max="20" width="11.3828125" style="3" customWidth="1"/>
    <col min="21" max="22" width="10.3828125" style="3" customWidth="1"/>
    <col min="23" max="23" width="6.3046875" style="3" customWidth="1"/>
    <col min="24" max="16384" width="11.3828125" style="3" hidden="1"/>
  </cols>
  <sheetData>
    <row r="1" spans="1:22" s="36" customFormat="1" ht="26.25" customHeight="1" x14ac:dyDescent="0.75">
      <c r="A1" s="83" t="s">
        <v>12</v>
      </c>
      <c r="B1" s="83"/>
      <c r="C1" s="83"/>
      <c r="D1" s="83"/>
      <c r="E1" s="83"/>
      <c r="F1" s="83"/>
      <c r="G1" s="83"/>
      <c r="H1" s="83"/>
      <c r="I1" s="83"/>
      <c r="J1" s="83"/>
      <c r="K1" s="83"/>
      <c r="L1" s="83"/>
      <c r="M1" s="83"/>
      <c r="N1" s="83"/>
      <c r="O1" s="83"/>
      <c r="P1" s="83"/>
      <c r="Q1" s="83"/>
      <c r="R1" s="83"/>
      <c r="S1" s="83"/>
      <c r="T1" s="83"/>
      <c r="U1" s="83"/>
      <c r="V1" s="83"/>
    </row>
    <row r="2" spans="1:22" s="36" customFormat="1" ht="19.5" customHeight="1" x14ac:dyDescent="0.75">
      <c r="A2" s="83"/>
      <c r="B2" s="83"/>
      <c r="C2" s="83"/>
      <c r="D2" s="83"/>
      <c r="E2" s="83"/>
      <c r="F2" s="83"/>
      <c r="G2" s="83"/>
      <c r="H2" s="83"/>
      <c r="I2" s="83"/>
      <c r="J2" s="83"/>
      <c r="K2" s="83"/>
      <c r="L2" s="83"/>
      <c r="M2" s="83"/>
      <c r="N2" s="83"/>
      <c r="O2" s="83"/>
      <c r="P2" s="83"/>
      <c r="Q2" s="83"/>
      <c r="R2" s="83"/>
      <c r="S2" s="83"/>
      <c r="T2" s="83"/>
      <c r="U2" s="83"/>
      <c r="V2" s="83"/>
    </row>
    <row r="3" spans="1:22" s="36" customFormat="1" ht="26.25" customHeight="1" x14ac:dyDescent="0.75">
      <c r="A3" s="83"/>
      <c r="B3" s="83"/>
      <c r="C3" s="83"/>
      <c r="D3" s="83"/>
      <c r="E3" s="83"/>
      <c r="F3" s="83"/>
      <c r="G3" s="83"/>
      <c r="H3" s="83"/>
      <c r="I3" s="83"/>
      <c r="J3" s="83"/>
      <c r="K3" s="83"/>
      <c r="L3" s="83"/>
      <c r="M3" s="83"/>
      <c r="N3" s="83"/>
      <c r="O3" s="83"/>
      <c r="P3" s="83"/>
      <c r="Q3" s="83"/>
      <c r="R3" s="83"/>
      <c r="S3" s="83"/>
      <c r="T3" s="83"/>
      <c r="U3" s="83"/>
      <c r="V3" s="83"/>
    </row>
    <row r="4" spans="1:22" s="36" customFormat="1" ht="26.25" customHeight="1" x14ac:dyDescent="0.85">
      <c r="A4" s="37"/>
    </row>
    <row r="5" spans="1:22" s="39" customFormat="1" ht="17.25" x14ac:dyDescent="0.6">
      <c r="A5" s="38"/>
      <c r="B5" s="38"/>
      <c r="C5" s="38"/>
      <c r="D5" s="38"/>
      <c r="E5" s="38"/>
    </row>
    <row r="6" spans="1:22" s="39" customFormat="1" ht="17.25" x14ac:dyDescent="0.6">
      <c r="A6" s="80" t="s">
        <v>0</v>
      </c>
      <c r="B6" s="54" t="s">
        <v>2</v>
      </c>
      <c r="C6" s="54" t="s">
        <v>3</v>
      </c>
      <c r="D6" s="55" t="s">
        <v>4</v>
      </c>
      <c r="E6" s="38"/>
    </row>
    <row r="7" spans="1:22" s="39" customFormat="1" ht="17.25" x14ac:dyDescent="0.6">
      <c r="A7" s="81"/>
      <c r="B7" s="82" t="s">
        <v>13</v>
      </c>
      <c r="C7" s="82"/>
      <c r="D7" s="56" t="s">
        <v>5</v>
      </c>
    </row>
    <row r="8" spans="1:22" s="39" customFormat="1" ht="17.25" x14ac:dyDescent="0.6">
      <c r="A8" s="46">
        <v>1999</v>
      </c>
      <c r="B8" s="47">
        <v>13960.317834420071</v>
      </c>
      <c r="C8" s="48">
        <v>632428.64891098265</v>
      </c>
      <c r="D8" s="49">
        <v>2.2074138890543922</v>
      </c>
    </row>
    <row r="9" spans="1:22" s="39" customFormat="1" ht="17.25" x14ac:dyDescent="0.6">
      <c r="A9" s="50">
        <v>2000</v>
      </c>
      <c r="B9" s="51">
        <v>18248.688390210074</v>
      </c>
      <c r="C9" s="52">
        <v>741818.03096676478</v>
      </c>
      <c r="D9" s="53">
        <v>2.4599952587331568</v>
      </c>
    </row>
    <row r="10" spans="1:22" s="39" customFormat="1" ht="17.25" x14ac:dyDescent="0.6">
      <c r="A10" s="50">
        <v>2001</v>
      </c>
      <c r="B10" s="51">
        <v>30057.181122777041</v>
      </c>
      <c r="C10" s="52">
        <v>797004.66454347037</v>
      </c>
      <c r="D10" s="53">
        <v>3.7712679059405501</v>
      </c>
    </row>
    <row r="11" spans="1:22" s="39" customFormat="1" ht="17.25" x14ac:dyDescent="0.6">
      <c r="A11" s="50">
        <v>2002</v>
      </c>
      <c r="B11" s="51">
        <v>24099.206211130102</v>
      </c>
      <c r="C11" s="52">
        <v>810431.26933527843</v>
      </c>
      <c r="D11" s="53">
        <v>2.973627391116886</v>
      </c>
    </row>
    <row r="12" spans="1:22" s="39" customFormat="1" ht="17.25" x14ac:dyDescent="0.6">
      <c r="A12" s="50">
        <v>2003</v>
      </c>
      <c r="B12" s="51">
        <v>18249.968776300091</v>
      </c>
      <c r="C12" s="52">
        <v>765701.80681885616</v>
      </c>
      <c r="D12" s="53">
        <v>2.3834302875842015</v>
      </c>
    </row>
    <row r="13" spans="1:22" s="39" customFormat="1" ht="17.25" x14ac:dyDescent="0.6">
      <c r="A13" s="50">
        <v>2004</v>
      </c>
      <c r="B13" s="51">
        <v>25015.569865094192</v>
      </c>
      <c r="C13" s="52">
        <v>819342.9763462001</v>
      </c>
      <c r="D13" s="53">
        <v>3.0531255636863199</v>
      </c>
    </row>
    <row r="14" spans="1:22" s="39" customFormat="1" ht="17.25" x14ac:dyDescent="0.6">
      <c r="A14" s="50">
        <v>2005</v>
      </c>
      <c r="B14" s="51">
        <v>25795.824800636266</v>
      </c>
      <c r="C14" s="52">
        <v>918763.14119366836</v>
      </c>
      <c r="D14" s="53">
        <v>2.8076686627983372</v>
      </c>
    </row>
    <row r="15" spans="1:22" s="39" customFormat="1" ht="17.25" x14ac:dyDescent="0.6">
      <c r="A15" s="40">
        <v>2006</v>
      </c>
      <c r="B15" s="41">
        <v>21236.848947451224</v>
      </c>
      <c r="C15" s="42">
        <v>1019756.7452947793</v>
      </c>
      <c r="D15" s="43">
        <f>B15/C15*100</f>
        <v>2.0825406691781505</v>
      </c>
    </row>
    <row r="16" spans="1:22" s="39" customFormat="1" ht="17.25" x14ac:dyDescent="0.6">
      <c r="A16" s="40">
        <v>2007</v>
      </c>
      <c r="B16" s="41">
        <v>32394.037818461522</v>
      </c>
      <c r="C16" s="42">
        <v>1102718.0446246397</v>
      </c>
      <c r="D16" s="43">
        <f t="shared" ref="D16:D34" si="0">B16/C16*100</f>
        <v>2.9376537344583227</v>
      </c>
    </row>
    <row r="17" spans="1:4" s="39" customFormat="1" ht="17.25" x14ac:dyDescent="0.6">
      <c r="A17" s="40">
        <v>2008</v>
      </c>
      <c r="B17" s="41">
        <v>29521.419070842763</v>
      </c>
      <c r="C17" s="42">
        <v>1170112.7184744328</v>
      </c>
      <c r="D17" s="43">
        <f t="shared" si="0"/>
        <v>2.5229551482298338</v>
      </c>
    </row>
    <row r="18" spans="1:4" s="39" customFormat="1" ht="17.25" x14ac:dyDescent="0.6">
      <c r="A18" s="40">
        <v>2009</v>
      </c>
      <c r="B18" s="41">
        <v>17851.259975357607</v>
      </c>
      <c r="C18" s="42">
        <v>946314.39199439762</v>
      </c>
      <c r="D18" s="43">
        <f t="shared" si="0"/>
        <v>1.8863984449962048</v>
      </c>
    </row>
    <row r="19" spans="1:4" s="39" customFormat="1" ht="17.25" x14ac:dyDescent="0.6">
      <c r="A19" s="40">
        <v>2010</v>
      </c>
      <c r="B19" s="41">
        <v>27199.001574955291</v>
      </c>
      <c r="C19" s="42">
        <v>1106477.9522027229</v>
      </c>
      <c r="D19" s="43">
        <f t="shared" si="0"/>
        <v>2.4581602842432453</v>
      </c>
    </row>
    <row r="20" spans="1:4" s="39" customFormat="1" ht="17.25" x14ac:dyDescent="0.6">
      <c r="A20" s="40">
        <v>2011</v>
      </c>
      <c r="B20" s="41">
        <v>25632.564790888606</v>
      </c>
      <c r="C20" s="42">
        <v>1229155.9189018873</v>
      </c>
      <c r="D20" s="43">
        <f t="shared" si="0"/>
        <v>2.0853794377680273</v>
      </c>
    </row>
    <row r="21" spans="1:4" s="39" customFormat="1" ht="17.25" x14ac:dyDescent="0.6">
      <c r="A21" s="40">
        <v>2012</v>
      </c>
      <c r="B21" s="41">
        <v>21769.332132260963</v>
      </c>
      <c r="C21" s="42">
        <v>1255666.3354948985</v>
      </c>
      <c r="D21" s="43">
        <f t="shared" si="0"/>
        <v>1.7336876459048312</v>
      </c>
    </row>
    <row r="22" spans="1:4" s="39" customFormat="1" ht="17.25" x14ac:dyDescent="0.6">
      <c r="A22" s="40">
        <v>2013</v>
      </c>
      <c r="B22" s="41">
        <v>48356.760011782091</v>
      </c>
      <c r="C22" s="42">
        <v>1327866.0507596827</v>
      </c>
      <c r="D22" s="43">
        <f t="shared" si="0"/>
        <v>3.6416896104932275</v>
      </c>
    </row>
    <row r="23" spans="1:4" s="39" customFormat="1" ht="17.25" x14ac:dyDescent="0.6">
      <c r="A23" s="40">
        <v>2014</v>
      </c>
      <c r="B23" s="41">
        <v>30351.497115624894</v>
      </c>
      <c r="C23" s="42">
        <v>1363622.6805175482</v>
      </c>
      <c r="D23" s="43">
        <f t="shared" si="0"/>
        <v>2.2257987894499753</v>
      </c>
    </row>
    <row r="24" spans="1:4" s="39" customFormat="1" ht="17.25" x14ac:dyDescent="0.6">
      <c r="A24" s="40">
        <v>2015</v>
      </c>
      <c r="B24" s="41">
        <v>35945.172957005554</v>
      </c>
      <c r="C24" s="42">
        <v>1212930.7465036674</v>
      </c>
      <c r="D24" s="43">
        <f t="shared" si="0"/>
        <v>2.9634975500966796</v>
      </c>
    </row>
    <row r="25" spans="1:4" s="39" customFormat="1" ht="17.25" x14ac:dyDescent="0.6">
      <c r="A25" s="40">
        <v>2016</v>
      </c>
      <c r="B25" s="41">
        <v>31192.304756424597</v>
      </c>
      <c r="C25" s="42">
        <v>1110657.0604481746</v>
      </c>
      <c r="D25" s="43">
        <f t="shared" si="0"/>
        <v>2.8084550908844728</v>
      </c>
    </row>
    <row r="26" spans="1:4" s="39" customFormat="1" ht="17.25" x14ac:dyDescent="0.6">
      <c r="A26" s="40">
        <v>2017</v>
      </c>
      <c r="B26" s="41">
        <v>34041.823482311593</v>
      </c>
      <c r="C26" s="42">
        <v>1194607.8289517516</v>
      </c>
      <c r="D26" s="43">
        <f t="shared" si="0"/>
        <v>2.849623337240534</v>
      </c>
    </row>
    <row r="27" spans="1:4" s="39" customFormat="1" ht="17.25" x14ac:dyDescent="0.6">
      <c r="A27" s="40">
        <v>2018</v>
      </c>
      <c r="B27" s="41">
        <v>34110.911240511574</v>
      </c>
      <c r="C27" s="42">
        <v>1256815.2849659091</v>
      </c>
      <c r="D27" s="43">
        <f t="shared" si="0"/>
        <v>2.7140751428271201</v>
      </c>
    </row>
    <row r="28" spans="1:4" s="39" customFormat="1" ht="17.25" x14ac:dyDescent="0.6">
      <c r="A28" s="40">
        <v>2019</v>
      </c>
      <c r="B28" s="41">
        <v>34619.748358263721</v>
      </c>
      <c r="C28" s="42">
        <v>1304694.4748193177</v>
      </c>
      <c r="D28" s="43">
        <f t="shared" si="0"/>
        <v>2.6534755091269995</v>
      </c>
    </row>
    <row r="29" spans="1:4" s="39" customFormat="1" ht="17.25" x14ac:dyDescent="0.6">
      <c r="A29" s="40">
        <v>2020</v>
      </c>
      <c r="B29" s="41">
        <v>28215.286421661629</v>
      </c>
      <c r="C29" s="42">
        <v>1129590.1133632597</v>
      </c>
      <c r="D29" s="43">
        <f t="shared" si="0"/>
        <v>2.4978340450991543</v>
      </c>
    </row>
    <row r="30" spans="1:4" s="39" customFormat="1" ht="17.25" x14ac:dyDescent="0.6">
      <c r="A30" s="40">
        <v>2021</v>
      </c>
      <c r="B30" s="41">
        <v>33847.015206203112</v>
      </c>
      <c r="C30" s="42">
        <v>1315877.8466304687</v>
      </c>
      <c r="D30" s="43">
        <f t="shared" si="0"/>
        <v>2.572200397846518</v>
      </c>
    </row>
    <row r="31" spans="1:4" s="39" customFormat="1" ht="17.25" x14ac:dyDescent="0.6">
      <c r="A31" s="39">
        <v>2022</v>
      </c>
      <c r="B31" s="41">
        <v>36419.45219572213</v>
      </c>
      <c r="C31" s="42">
        <v>1468611.058063928</v>
      </c>
      <c r="D31" s="43">
        <f t="shared" si="0"/>
        <v>2.4798568685526541</v>
      </c>
    </row>
    <row r="32" spans="1:4" s="39" customFormat="1" ht="17.25" x14ac:dyDescent="0.6">
      <c r="A32" s="40">
        <v>2023</v>
      </c>
      <c r="B32" s="41">
        <v>36475.534208166027</v>
      </c>
      <c r="C32" s="42">
        <v>1799650.8987576375</v>
      </c>
      <c r="D32" s="43">
        <f t="shared" si="0"/>
        <v>2.0268116573801271</v>
      </c>
    </row>
    <row r="33" spans="1:11" s="39" customFormat="1" ht="17.25" x14ac:dyDescent="0.6">
      <c r="A33" s="39">
        <v>2024</v>
      </c>
      <c r="B33" s="41">
        <v>37934.702450024553</v>
      </c>
      <c r="C33" s="42">
        <v>1834690.0529423493</v>
      </c>
      <c r="D33" s="43">
        <f t="shared" si="0"/>
        <v>2.0676354782208306</v>
      </c>
    </row>
    <row r="34" spans="1:11" s="39" customFormat="1" ht="17.25" x14ac:dyDescent="0.6">
      <c r="A34" s="59">
        <v>2025</v>
      </c>
      <c r="B34" s="44">
        <v>40870.76932803377</v>
      </c>
      <c r="C34" s="58">
        <v>1839546.8691226</v>
      </c>
      <c r="D34" s="62">
        <f t="shared" si="0"/>
        <v>2.2217846152257978</v>
      </c>
    </row>
    <row r="35" spans="1:11" s="39" customFormat="1" ht="17.25" x14ac:dyDescent="0.6">
      <c r="B35" s="45"/>
      <c r="C35" s="45"/>
      <c r="D35" s="45"/>
    </row>
    <row r="36" spans="1:11" s="39" customFormat="1" ht="17.25" x14ac:dyDescent="0.6">
      <c r="A36" s="30" t="s">
        <v>14</v>
      </c>
    </row>
    <row r="37" spans="1:11" ht="17.25" x14ac:dyDescent="0.6">
      <c r="A37" s="31" t="s">
        <v>10</v>
      </c>
      <c r="B37" s="2"/>
    </row>
    <row r="38" spans="1:11" ht="52.5" customHeight="1" x14ac:dyDescent="0.6">
      <c r="A38" s="63" t="s">
        <v>16</v>
      </c>
      <c r="B38" s="63"/>
      <c r="C38" s="63"/>
      <c r="D38" s="63"/>
      <c r="E38" s="63"/>
      <c r="F38" s="63"/>
      <c r="G38" s="63"/>
      <c r="H38" s="63"/>
      <c r="I38" s="63"/>
      <c r="J38" s="63"/>
      <c r="K38" s="63"/>
    </row>
    <row r="39" spans="1:11" ht="17.25" x14ac:dyDescent="0.6"/>
    <row r="40" spans="1:11" ht="18.75" customHeight="1" x14ac:dyDescent="0.6"/>
    <row r="41" spans="1:11" ht="18.75" customHeight="1" x14ac:dyDescent="0.6"/>
    <row r="42" spans="1:11" ht="18.75" customHeight="1" x14ac:dyDescent="0.6"/>
    <row r="43" spans="1:11" ht="18.75" customHeight="1" x14ac:dyDescent="0.6"/>
  </sheetData>
  <mergeCells count="4">
    <mergeCell ref="A6:A7"/>
    <mergeCell ref="B7:C7"/>
    <mergeCell ref="A1:V3"/>
    <mergeCell ref="A38:K38"/>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73"/>
  <sheetViews>
    <sheetView showGridLines="0" zoomScaleNormal="100" workbookViewId="0">
      <selection activeCell="I5" sqref="I5"/>
    </sheetView>
  </sheetViews>
  <sheetFormatPr defaultColWidth="0" defaultRowHeight="12" customHeight="1" zeroHeight="1" x14ac:dyDescent="0.35"/>
  <cols>
    <col min="1" max="9" width="11.3828125" customWidth="1"/>
    <col min="10" max="11" width="11.3828125" hidden="1" customWidth="1"/>
    <col min="12" max="256" width="11.3828125" hidden="1"/>
    <col min="257" max="267" width="11.3828125" hidden="1" customWidth="1"/>
    <col min="268" max="512" width="11.3828125" hidden="1"/>
    <col min="513" max="523" width="11.3828125" hidden="1" customWidth="1"/>
    <col min="524" max="768" width="11.3828125" hidden="1"/>
    <col min="769" max="779" width="11.3828125" hidden="1" customWidth="1"/>
    <col min="780" max="1024" width="11.3828125" hidden="1"/>
    <col min="1025" max="1035" width="11.3828125" hidden="1" customWidth="1"/>
    <col min="1036" max="1280" width="11.3828125" hidden="1"/>
    <col min="1281" max="1291" width="11.3828125" hidden="1" customWidth="1"/>
    <col min="1292" max="1536" width="11.3828125" hidden="1"/>
    <col min="1537" max="1547" width="11.3828125" hidden="1" customWidth="1"/>
    <col min="1548" max="1792" width="11.3828125" hidden="1"/>
    <col min="1793" max="1803" width="11.3828125" hidden="1" customWidth="1"/>
    <col min="1804" max="2048" width="11.3828125" hidden="1"/>
    <col min="2049" max="2059" width="11.3828125" hidden="1" customWidth="1"/>
    <col min="2060" max="2304" width="11.3828125" hidden="1"/>
    <col min="2305" max="2315" width="11.3828125" hidden="1" customWidth="1"/>
    <col min="2316" max="2560" width="11.3828125" hidden="1"/>
    <col min="2561" max="2571" width="11.3828125" hidden="1" customWidth="1"/>
    <col min="2572" max="2816" width="11.3828125" hidden="1"/>
    <col min="2817" max="2827" width="11.3828125" hidden="1" customWidth="1"/>
    <col min="2828" max="3072" width="11.3828125" hidden="1"/>
    <col min="3073" max="3083" width="11.3828125" hidden="1" customWidth="1"/>
    <col min="3084" max="3328" width="11.3828125" hidden="1"/>
    <col min="3329" max="3339" width="11.3828125" hidden="1" customWidth="1"/>
    <col min="3340" max="3584" width="11.3828125" hidden="1"/>
    <col min="3585" max="3595" width="11.3828125" hidden="1" customWidth="1"/>
    <col min="3596" max="3840" width="11.3828125" hidden="1"/>
    <col min="3841" max="3851" width="11.3828125" hidden="1" customWidth="1"/>
    <col min="3852" max="4096" width="11.3828125" hidden="1"/>
    <col min="4097" max="4107" width="11.3828125" hidden="1" customWidth="1"/>
    <col min="4108" max="4352" width="11.3828125" hidden="1"/>
    <col min="4353" max="4363" width="11.3828125" hidden="1" customWidth="1"/>
    <col min="4364" max="4608" width="11.3828125" hidden="1"/>
    <col min="4609" max="4619" width="11.3828125" hidden="1" customWidth="1"/>
    <col min="4620" max="4864" width="11.3828125" hidden="1"/>
    <col min="4865" max="4875" width="11.3828125" hidden="1" customWidth="1"/>
    <col min="4876" max="5120" width="11.3828125" hidden="1"/>
    <col min="5121" max="5131" width="11.3828125" hidden="1" customWidth="1"/>
    <col min="5132" max="5376" width="11.3828125" hidden="1"/>
    <col min="5377" max="5387" width="11.3828125" hidden="1" customWidth="1"/>
    <col min="5388" max="5632" width="11.3828125" hidden="1"/>
    <col min="5633" max="5643" width="11.3828125" hidden="1" customWidth="1"/>
    <col min="5644" max="5888" width="11.3828125" hidden="1"/>
    <col min="5889" max="5899" width="11.3828125" hidden="1" customWidth="1"/>
    <col min="5900" max="6144" width="11.3828125" hidden="1"/>
    <col min="6145" max="6155" width="11.3828125" hidden="1" customWidth="1"/>
    <col min="6156" max="6400" width="11.3828125" hidden="1"/>
    <col min="6401" max="6411" width="11.3828125" hidden="1" customWidth="1"/>
    <col min="6412" max="6656" width="11.3828125" hidden="1"/>
    <col min="6657" max="6667" width="11.3828125" hidden="1" customWidth="1"/>
    <col min="6668" max="6912" width="11.3828125" hidden="1"/>
    <col min="6913" max="6923" width="11.3828125" hidden="1" customWidth="1"/>
    <col min="6924" max="7168" width="11.3828125" hidden="1"/>
    <col min="7169" max="7179" width="11.3828125" hidden="1" customWidth="1"/>
    <col min="7180" max="7424" width="11.3828125" hidden="1"/>
    <col min="7425" max="7435" width="11.3828125" hidden="1" customWidth="1"/>
    <col min="7436" max="7680" width="11.3828125" hidden="1"/>
    <col min="7681" max="7691" width="11.3828125" hidden="1" customWidth="1"/>
    <col min="7692" max="7936" width="11.3828125" hidden="1"/>
    <col min="7937" max="7947" width="11.3828125" hidden="1" customWidth="1"/>
    <col min="7948" max="8192" width="11.3828125" hidden="1"/>
    <col min="8193" max="8203" width="11.3828125" hidden="1" customWidth="1"/>
    <col min="8204" max="8448" width="11.3828125" hidden="1"/>
    <col min="8449" max="8459" width="11.3828125" hidden="1" customWidth="1"/>
    <col min="8460" max="8704" width="11.3828125" hidden="1"/>
    <col min="8705" max="8715" width="11.3828125" hidden="1" customWidth="1"/>
    <col min="8716" max="8960" width="11.3828125" hidden="1"/>
    <col min="8961" max="8971" width="11.3828125" hidden="1" customWidth="1"/>
    <col min="8972" max="9216" width="11.3828125" hidden="1"/>
    <col min="9217" max="9227" width="11.3828125" hidden="1" customWidth="1"/>
    <col min="9228" max="9472" width="11.3828125" hidden="1"/>
    <col min="9473" max="9483" width="11.3828125" hidden="1" customWidth="1"/>
    <col min="9484" max="9728" width="11.3828125" hidden="1"/>
    <col min="9729" max="9739" width="11.3828125" hidden="1" customWidth="1"/>
    <col min="9740" max="9984" width="11.3828125" hidden="1"/>
    <col min="9985" max="9995" width="11.3828125" hidden="1" customWidth="1"/>
    <col min="9996" max="10240" width="11.3828125" hidden="1"/>
    <col min="10241" max="10251" width="11.3828125" hidden="1" customWidth="1"/>
    <col min="10252" max="10496" width="11.3828125" hidden="1"/>
    <col min="10497" max="10507" width="11.3828125" hidden="1" customWidth="1"/>
    <col min="10508" max="10752" width="11.3828125" hidden="1"/>
    <col min="10753" max="10763" width="11.3828125" hidden="1" customWidth="1"/>
    <col min="10764" max="11008" width="11.3828125" hidden="1"/>
    <col min="11009" max="11019" width="11.3828125" hidden="1" customWidth="1"/>
    <col min="11020" max="11264" width="11.3828125" hidden="1"/>
    <col min="11265" max="11275" width="11.3828125" hidden="1" customWidth="1"/>
    <col min="11276" max="11520" width="11.3828125" hidden="1"/>
    <col min="11521" max="11531" width="11.3828125" hidden="1" customWidth="1"/>
    <col min="11532" max="11776" width="11.3828125" hidden="1"/>
    <col min="11777" max="11787" width="11.3828125" hidden="1" customWidth="1"/>
    <col min="11788" max="12032" width="11.3828125" hidden="1"/>
    <col min="12033" max="12043" width="11.3828125" hidden="1" customWidth="1"/>
    <col min="12044" max="12288" width="11.3828125" hidden="1"/>
    <col min="12289" max="12299" width="11.3828125" hidden="1" customWidth="1"/>
    <col min="12300" max="12544" width="11.3828125" hidden="1"/>
    <col min="12545" max="12555" width="11.3828125" hidden="1" customWidth="1"/>
    <col min="12556" max="12800" width="11.3828125" hidden="1"/>
    <col min="12801" max="12811" width="11.3828125" hidden="1" customWidth="1"/>
    <col min="12812" max="13056" width="11.3828125" hidden="1"/>
    <col min="13057" max="13067" width="11.3828125" hidden="1" customWidth="1"/>
    <col min="13068" max="13312" width="11.3828125" hidden="1"/>
    <col min="13313" max="13323" width="11.3828125" hidden="1" customWidth="1"/>
    <col min="13324" max="13568" width="11.3828125" hidden="1"/>
    <col min="13569" max="13579" width="11.3828125" hidden="1" customWidth="1"/>
    <col min="13580" max="13824" width="11.3828125" hidden="1"/>
    <col min="13825" max="13835" width="11.3828125" hidden="1" customWidth="1"/>
    <col min="13836" max="14080" width="11.3828125" hidden="1"/>
    <col min="14081" max="14091" width="11.3828125" hidden="1" customWidth="1"/>
    <col min="14092" max="14336" width="11.3828125" hidden="1"/>
    <col min="14337" max="14347" width="11.3828125" hidden="1" customWidth="1"/>
    <col min="14348" max="14592" width="11.3828125" hidden="1"/>
    <col min="14593" max="14603" width="11.3828125" hidden="1" customWidth="1"/>
    <col min="14604" max="14848" width="11.3828125" hidden="1"/>
    <col min="14849" max="14859" width="11.3828125" hidden="1" customWidth="1"/>
    <col min="14860" max="15104" width="11.3828125" hidden="1"/>
    <col min="15105" max="15115" width="11.3828125" hidden="1" customWidth="1"/>
    <col min="15116" max="15360" width="11.3828125" hidden="1"/>
    <col min="15361" max="15371" width="11.3828125" hidden="1" customWidth="1"/>
    <col min="15372" max="15616" width="11.3828125" hidden="1"/>
    <col min="15617" max="15627" width="11.3828125" hidden="1" customWidth="1"/>
    <col min="15628" max="15872" width="11.3828125" hidden="1"/>
    <col min="15873" max="15883" width="11.3828125" hidden="1" customWidth="1"/>
    <col min="15884" max="16128" width="11.3828125" hidden="1"/>
    <col min="16129" max="16139" width="11.3828125" hidden="1" customWidth="1"/>
    <col min="16140" max="16384" width="11.3828125" hidden="1"/>
  </cols>
  <sheetData>
    <row r="1" ht="11.65" x14ac:dyDescent="0.35"/>
    <row r="2" ht="11.65" x14ac:dyDescent="0.35"/>
    <row r="3" ht="11.65" x14ac:dyDescent="0.35"/>
    <row r="4" ht="11.65" x14ac:dyDescent="0.35"/>
    <row r="5" ht="11.65" x14ac:dyDescent="0.35"/>
    <row r="6" ht="11.65" x14ac:dyDescent="0.35"/>
    <row r="7" ht="11.65" x14ac:dyDescent="0.35"/>
    <row r="8" ht="11.65" x14ac:dyDescent="0.35"/>
    <row r="9" ht="11.65" x14ac:dyDescent="0.35"/>
    <row r="10" ht="11.65" x14ac:dyDescent="0.35"/>
    <row r="11" ht="11.65" x14ac:dyDescent="0.35"/>
    <row r="12" ht="11.65" x14ac:dyDescent="0.35"/>
    <row r="13" ht="11.65" x14ac:dyDescent="0.35"/>
    <row r="14" ht="11.65" x14ac:dyDescent="0.35"/>
    <row r="15" ht="11.65" x14ac:dyDescent="0.35"/>
    <row r="16" ht="11.65" x14ac:dyDescent="0.35"/>
    <row r="17" ht="11.65" x14ac:dyDescent="0.35"/>
    <row r="18" ht="11.65" x14ac:dyDescent="0.35"/>
    <row r="19" ht="11.65" x14ac:dyDescent="0.35"/>
    <row r="20" ht="11.65" x14ac:dyDescent="0.35"/>
    <row r="21" ht="11.65" x14ac:dyDescent="0.35"/>
    <row r="22" ht="11.65" x14ac:dyDescent="0.35"/>
    <row r="23" ht="11.65" x14ac:dyDescent="0.35"/>
    <row r="24" ht="11.65" x14ac:dyDescent="0.35"/>
    <row r="25" ht="11.65" x14ac:dyDescent="0.35"/>
    <row r="26" ht="11.65" x14ac:dyDescent="0.35"/>
    <row r="27" ht="11.65" x14ac:dyDescent="0.35"/>
    <row r="28" ht="11.65" x14ac:dyDescent="0.35"/>
    <row r="29" ht="11.65" x14ac:dyDescent="0.35"/>
    <row r="30" ht="11.65" x14ac:dyDescent="0.35"/>
    <row r="31" ht="11.65" x14ac:dyDescent="0.35"/>
    <row r="32" ht="11.65" x14ac:dyDescent="0.35"/>
    <row r="33" ht="11.65" x14ac:dyDescent="0.35"/>
    <row r="34" ht="11.65" x14ac:dyDescent="0.35"/>
    <row r="35" ht="11.65" x14ac:dyDescent="0.35"/>
    <row r="36" ht="11.65" x14ac:dyDescent="0.35"/>
    <row r="37" ht="11.65" x14ac:dyDescent="0.35"/>
    <row r="38" ht="11.65" x14ac:dyDescent="0.35"/>
    <row r="39" ht="11.65" x14ac:dyDescent="0.35"/>
    <row r="40" ht="11.65" x14ac:dyDescent="0.35"/>
    <row r="41" ht="11.65" x14ac:dyDescent="0.35"/>
    <row r="42" ht="11.65" x14ac:dyDescent="0.35"/>
    <row r="43" ht="11.65" x14ac:dyDescent="0.35"/>
    <row r="44" ht="11.65" x14ac:dyDescent="0.35"/>
    <row r="45" ht="11.65" x14ac:dyDescent="0.35"/>
    <row r="46" ht="11.65" x14ac:dyDescent="0.35"/>
    <row r="47" ht="11.65" x14ac:dyDescent="0.35"/>
    <row r="48" ht="11.65" x14ac:dyDescent="0.35"/>
    <row r="49" ht="11.65" x14ac:dyDescent="0.35"/>
    <row r="50" ht="11.65" x14ac:dyDescent="0.35"/>
    <row r="51" ht="11.65" x14ac:dyDescent="0.35"/>
    <row r="52" ht="11.65" x14ac:dyDescent="0.35"/>
    <row r="53" ht="11.65" x14ac:dyDescent="0.35"/>
    <row r="54" ht="11.65" x14ac:dyDescent="0.35"/>
    <row r="55" ht="11.65" x14ac:dyDescent="0.35"/>
    <row r="56" ht="11.65" x14ac:dyDescent="0.35"/>
    <row r="57" ht="11.65" x14ac:dyDescent="0.35"/>
    <row r="58" ht="11.65" x14ac:dyDescent="0.35"/>
    <row r="59" ht="11.65" x14ac:dyDescent="0.35"/>
    <row r="60" ht="12" customHeight="1" x14ac:dyDescent="0.35"/>
    <row r="61" ht="12" customHeight="1" x14ac:dyDescent="0.35"/>
    <row r="62" ht="12" customHeight="1" x14ac:dyDescent="0.35"/>
    <row r="63" ht="12" customHeight="1" x14ac:dyDescent="0.35"/>
    <row r="64" ht="12" customHeight="1" x14ac:dyDescent="0.35"/>
    <row r="65" ht="12" customHeight="1" x14ac:dyDescent="0.35"/>
    <row r="66" ht="12" customHeight="1" x14ac:dyDescent="0.35"/>
    <row r="67" ht="12" customHeight="1" x14ac:dyDescent="0.35"/>
    <row r="68" ht="12" customHeight="1" x14ac:dyDescent="0.35"/>
    <row r="69" ht="12" customHeight="1" x14ac:dyDescent="0.35"/>
    <row r="70" ht="12" customHeight="1" x14ac:dyDescent="0.35"/>
    <row r="71" ht="12" customHeight="1" x14ac:dyDescent="0.35"/>
    <row r="72" ht="12" customHeight="1" x14ac:dyDescent="0.35"/>
    <row r="73" ht="12" customHeight="1" x14ac:dyDescent="0.35"/>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IED_PIB_Trimestral</vt:lpstr>
      <vt:lpstr>IED_PIB_Anual</vt:lpstr>
      <vt:lpstr>Metodología</vt:lpstr>
      <vt:lpstr>Metodología!_ftn1</vt:lpstr>
      <vt:lpstr>Metodología!_ftn2</vt:lpstr>
      <vt:lpstr>Metodología!_ftnref1</vt:lpstr>
      <vt:lpstr>Metodología!_ftnref2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Selene Yaret Zarzosa Piza</dc:creator>
  <cp:lastModifiedBy>Jorge Cornick</cp:lastModifiedBy>
  <dcterms:created xsi:type="dcterms:W3CDTF">2023-10-03T15:29:59Z</dcterms:created>
  <dcterms:modified xsi:type="dcterms:W3CDTF">2026-05-19T21:10:43Z</dcterms:modified>
</cp:coreProperties>
</file>