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D:\working\waccache\BL6PEPF000466DC\EXCELCNV\ff0aa13c-695e-4c15-9ace-b4a18c47a150\"/>
    </mc:Choice>
  </mc:AlternateContent>
  <xr:revisionPtr revIDLastSave="0" documentId="8_{874B24F3-D32F-4735-B269-58132CC3F05B}" xr6:coauthVersionLast="47" xr6:coauthVersionMax="47" xr10:uidLastSave="{00000000-0000-0000-0000-000000000000}"/>
  <bookViews>
    <workbookView xWindow="-60" yWindow="-60" windowWidth="15480" windowHeight="11640" xr2:uid="{05F2D8F3-5A28-4627-AC6D-5687CA2AE1CE}"/>
  </bookViews>
  <sheets>
    <sheet name="IED_FBKF_Trimestral" sheetId="1" r:id="rId1"/>
    <sheet name="IED_FBKF_Anual" sheetId="2" r:id="rId2"/>
    <sheet name="Metodología" sheetId="3" r:id="rId3"/>
  </sheets>
  <definedNames>
    <definedName name="_ftn1" localSheetId="2">Metodología!$A$28</definedName>
    <definedName name="_ftn2" localSheetId="2">Metodología!$A$29</definedName>
    <definedName name="_ftnref1" localSheetId="2">Metodología!$A$2</definedName>
    <definedName name="_ftnref2" localSheetId="2">Metodología!$A$12</definedName>
    <definedName name="A">#N/A</definedName>
    <definedName name="A_impresión_IM" localSheetId="1">#REF!</definedName>
    <definedName name="A_impresión_IM">#REF!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4" i="1" l="1"/>
  <c r="E113" i="1"/>
  <c r="E112" i="1"/>
  <c r="E111"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5" i="1"/>
  <c r="E37" i="1"/>
  <c r="E38" i="1"/>
  <c r="E39" i="1"/>
  <c r="E36" i="1"/>
</calcChain>
</file>

<file path=xl/sharedStrings.xml><?xml version="1.0" encoding="utf-8"?>
<sst xmlns="http://schemas.openxmlformats.org/spreadsheetml/2006/main" count="129" uniqueCount="18">
  <si>
    <t>FLUJOS DE IED COMO PORCENTAJE DE LA FORMACIÓN BRUTA DE CAPITAL FIJO TRIMESTRAL*/</t>
  </si>
  <si>
    <t>Año</t>
  </si>
  <si>
    <t>Trimestre</t>
  </si>
  <si>
    <t>IED*/</t>
  </si>
  <si>
    <t>FBKF</t>
  </si>
  <si>
    <t>IED/FBKF</t>
  </si>
  <si>
    <t>Millones de dólares corrientes</t>
  </si>
  <si>
    <t>Porcentaje</t>
  </si>
  <si>
    <t>I</t>
  </si>
  <si>
    <t>II</t>
  </si>
  <si>
    <t>III</t>
  </si>
  <si>
    <t>IV</t>
  </si>
  <si>
    <t>*/ Con información al 31 de diciembre de 2025.</t>
  </si>
  <si>
    <t>Fuente: Secretaría de Economía, INEGI y Banco de México.</t>
  </si>
  <si>
    <t>Nota metodológica: Las cifras referentes a la IED y a la FBKF se presentan en dólares. La Secretaría de Economía realiza la conversión de la FBKF trimestral utilizando el tipo de cambio FIX publicado por el Banco de México, en promedio por cada trimestre. Asimismo, la FBKF trimestral se presenta anualizada en la fuente original, por lo cual se desanualiza para dimesionar la participación del flujo trimestral de la IED.</t>
  </si>
  <si>
    <t>FLUJOS DE IED COMO PORCENTAJE DE LA FORMACIÓN BRUTA DE CAPITAL FIJO ANUAL*/</t>
  </si>
  <si>
    <t>IED</t>
  </si>
  <si>
    <t>Nota metodológica: Las cifras referentes a la IED y a la FBKF se presentan en dólares. La Secretaría de Economía realiza el calculo de la FBKF a partir del promedio simple de la FBKF trimestral anualizada, expresada en dólares americanos utilizando el tipo de cambio FIX publicado por el Banco de México.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</si>
</sst>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8">
    <font>
      <sz val="9"/>
      <color theme="1"/>
      <name val="Arial"/>
      <family val="2"/>
    </font>
    <font>
      <sz val="9"/>
      <color theme="1"/>
      <name val="Arial"/>
      <family val="2"/>
    </font>
    <font>
      <sz val="12"/>
      <color theme="1"/>
      <name val="Arial"/>
      <family val="2"/>
    </font>
    <font>
      <b/>
      <sz val="12"/>
      <color theme="1"/>
      <name val="Noto Sans"/>
      <family val="2"/>
    </font>
    <font>
      <sz val="12"/>
      <color theme="1"/>
      <name val="Noto Sans"/>
      <family val="2"/>
    </font>
    <font>
      <sz val="9"/>
      <color theme="1"/>
      <name val="Noto Sans"/>
      <family val="2"/>
    </font>
    <font>
      <sz val="10"/>
      <color theme="1"/>
      <name val="Noto Sans"/>
      <family val="2"/>
    </font>
    <font>
      <b/>
      <sz val="16"/>
      <color theme="0"/>
      <name val="Noto Sans"/>
      <family val="2"/>
    </font>
  </fonts>
  <fills count="6">
    <fill>
      <patternFill patternType="none"/>
    </fill>
    <fill>
      <patternFill patternType="gray125"/>
    </fill>
    <fill>
      <patternFill patternType="solid">
        <fgColor theme="0"/>
        <bgColor indexed="64"/>
      </patternFill>
    </fill>
    <fill>
      <patternFill patternType="solid">
        <fgColor rgb="FFD4C19C"/>
        <bgColor indexed="64"/>
      </patternFill>
    </fill>
    <fill>
      <patternFill patternType="solid">
        <fgColor theme="9" tint="0.79998168889431442"/>
        <bgColor indexed="64"/>
      </patternFill>
    </fill>
    <fill>
      <patternFill patternType="solid">
        <fgColor rgb="FF691C3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top style="thin">
        <color indexed="64"/>
      </top>
      <bottom/>
      <diagonal/>
    </border>
  </borders>
  <cellStyleXfs count="3">
    <xf numFmtId="0" fontId="0" fillId="0" borderId="0"/>
    <xf numFmtId="0" fontId="1" fillId="0" borderId="0"/>
    <xf numFmtId="0" fontId="2" fillId="0" borderId="0"/>
  </cellStyleXfs>
  <cellXfs count="82">
    <xf numFmtId="0" fontId="0" fillId="0" borderId="0" xfId="0"/>
    <xf numFmtId="0" fontId="3" fillId="2" borderId="0" xfId="2" applyFont="1" applyFill="1"/>
    <xf numFmtId="0" fontId="4" fillId="2" borderId="0" xfId="2" applyFont="1" applyFill="1"/>
    <xf numFmtId="0" fontId="4" fillId="2" borderId="0" xfId="0" applyFont="1" applyFill="1"/>
    <xf numFmtId="0" fontId="3" fillId="3" borderId="1" xfId="2" applyFont="1" applyFill="1" applyBorder="1" applyAlignment="1">
      <alignment horizontal="center" vertical="center"/>
    </xf>
    <xf numFmtId="0" fontId="4" fillId="2" borderId="0" xfId="0" applyFont="1" applyFill="1" applyAlignment="1">
      <alignment horizontal="center"/>
    </xf>
    <xf numFmtId="0" fontId="4" fillId="4" borderId="2" xfId="2" applyFont="1" applyFill="1" applyBorder="1" applyAlignment="1">
      <alignment horizontal="center"/>
    </xf>
    <xf numFmtId="164" fontId="4" fillId="4" borderId="2" xfId="2" applyNumberFormat="1" applyFont="1" applyFill="1" applyBorder="1" applyAlignment="1">
      <alignment horizontal="right"/>
    </xf>
    <xf numFmtId="164" fontId="4" fillId="4" borderId="2" xfId="2" applyNumberFormat="1" applyFont="1" applyFill="1" applyBorder="1" applyAlignment="1">
      <alignment horizontal="center"/>
    </xf>
    <xf numFmtId="0" fontId="4" fillId="4" borderId="3" xfId="2" applyFont="1" applyFill="1" applyBorder="1" applyAlignment="1">
      <alignment horizontal="center"/>
    </xf>
    <xf numFmtId="164" fontId="4" fillId="4" borderId="3" xfId="2" applyNumberFormat="1" applyFont="1" applyFill="1" applyBorder="1" applyAlignment="1">
      <alignment horizontal="right"/>
    </xf>
    <xf numFmtId="164" fontId="4" fillId="4" borderId="3" xfId="2" applyNumberFormat="1" applyFont="1" applyFill="1" applyBorder="1" applyAlignment="1">
      <alignment horizontal="center"/>
    </xf>
    <xf numFmtId="0" fontId="4" fillId="4" borderId="4" xfId="2" applyFont="1" applyFill="1" applyBorder="1" applyAlignment="1">
      <alignment horizontal="center"/>
    </xf>
    <xf numFmtId="164" fontId="4" fillId="4" borderId="4" xfId="2" applyNumberFormat="1" applyFont="1" applyFill="1" applyBorder="1" applyAlignment="1">
      <alignment horizontal="right"/>
    </xf>
    <xf numFmtId="164" fontId="4" fillId="4" borderId="4" xfId="2" applyNumberFormat="1" applyFont="1" applyFill="1" applyBorder="1" applyAlignment="1">
      <alignment horizontal="center"/>
    </xf>
    <xf numFmtId="165" fontId="4" fillId="4" borderId="2" xfId="2" applyNumberFormat="1" applyFont="1" applyFill="1" applyBorder="1" applyAlignment="1">
      <alignment horizontal="center"/>
    </xf>
    <xf numFmtId="165" fontId="4" fillId="4" borderId="3" xfId="2" applyNumberFormat="1" applyFont="1" applyFill="1" applyBorder="1" applyAlignment="1">
      <alignment horizontal="center"/>
    </xf>
    <xf numFmtId="165" fontId="4" fillId="4" borderId="4" xfId="2" applyNumberFormat="1" applyFont="1" applyFill="1" applyBorder="1" applyAlignment="1">
      <alignment horizontal="center"/>
    </xf>
    <xf numFmtId="0" fontId="4" fillId="2" borderId="2" xfId="2" applyFont="1" applyFill="1" applyBorder="1" applyAlignment="1">
      <alignment horizontal="center"/>
    </xf>
    <xf numFmtId="164" fontId="4" fillId="2" borderId="2" xfId="2" applyNumberFormat="1" applyFont="1" applyFill="1" applyBorder="1" applyAlignment="1">
      <alignment horizontal="right"/>
    </xf>
    <xf numFmtId="165" fontId="4" fillId="2" borderId="2" xfId="2" applyNumberFormat="1" applyFont="1" applyFill="1" applyBorder="1" applyAlignment="1">
      <alignment horizontal="center"/>
    </xf>
    <xf numFmtId="0" fontId="4" fillId="2" borderId="3" xfId="2" applyFont="1" applyFill="1" applyBorder="1" applyAlignment="1">
      <alignment horizontal="center"/>
    </xf>
    <xf numFmtId="164" fontId="4" fillId="2" borderId="3" xfId="2" applyNumberFormat="1" applyFont="1" applyFill="1" applyBorder="1" applyAlignment="1">
      <alignment horizontal="right"/>
    </xf>
    <xf numFmtId="165" fontId="4" fillId="2" borderId="3" xfId="2" applyNumberFormat="1" applyFont="1" applyFill="1" applyBorder="1" applyAlignment="1">
      <alignment horizontal="center"/>
    </xf>
    <xf numFmtId="0" fontId="4" fillId="2" borderId="4" xfId="2" applyFont="1" applyFill="1" applyBorder="1" applyAlignment="1">
      <alignment horizontal="center"/>
    </xf>
    <xf numFmtId="164" fontId="4" fillId="2" borderId="4" xfId="2" applyNumberFormat="1" applyFont="1" applyFill="1" applyBorder="1" applyAlignment="1">
      <alignment horizontal="right"/>
    </xf>
    <xf numFmtId="165" fontId="4" fillId="2" borderId="4" xfId="2" applyNumberFormat="1" applyFont="1" applyFill="1" applyBorder="1" applyAlignment="1">
      <alignment horizontal="center"/>
    </xf>
    <xf numFmtId="0" fontId="4" fillId="2" borderId="5" xfId="2" applyFont="1" applyFill="1" applyBorder="1" applyAlignment="1">
      <alignment horizontal="center"/>
    </xf>
    <xf numFmtId="0" fontId="4" fillId="2" borderId="6" xfId="2" applyFont="1" applyFill="1" applyBorder="1" applyAlignment="1">
      <alignment horizontal="center"/>
    </xf>
    <xf numFmtId="164" fontId="4" fillId="2" borderId="6" xfId="2" applyNumberFormat="1" applyFont="1" applyFill="1" applyBorder="1" applyAlignment="1">
      <alignment horizontal="right"/>
    </xf>
    <xf numFmtId="0" fontId="5" fillId="2" borderId="0" xfId="0" applyFont="1" applyFill="1"/>
    <xf numFmtId="0" fontId="4" fillId="2" borderId="7" xfId="2" applyFont="1" applyFill="1" applyBorder="1" applyAlignment="1">
      <alignment horizontal="center"/>
    </xf>
    <xf numFmtId="164" fontId="4" fillId="2" borderId="7" xfId="2" applyNumberFormat="1" applyFont="1" applyFill="1" applyBorder="1" applyAlignment="1">
      <alignment horizontal="right"/>
    </xf>
    <xf numFmtId="0" fontId="4" fillId="2" borderId="8" xfId="2" applyFont="1" applyFill="1" applyBorder="1" applyAlignment="1">
      <alignment horizontal="center"/>
    </xf>
    <xf numFmtId="164" fontId="4" fillId="2" borderId="8" xfId="2" applyNumberFormat="1" applyFont="1" applyFill="1" applyBorder="1" applyAlignment="1">
      <alignment horizontal="right"/>
    </xf>
    <xf numFmtId="0" fontId="4" fillId="2" borderId="9" xfId="2" applyFont="1" applyFill="1" applyBorder="1" applyAlignment="1">
      <alignment horizontal="center"/>
    </xf>
    <xf numFmtId="164" fontId="4" fillId="2" borderId="9" xfId="2" applyNumberFormat="1" applyFont="1" applyFill="1" applyBorder="1" applyAlignment="1">
      <alignment horizontal="right"/>
    </xf>
    <xf numFmtId="0" fontId="4" fillId="2" borderId="0" xfId="2" applyFont="1" applyFill="1" applyBorder="1"/>
    <xf numFmtId="0" fontId="4" fillId="2" borderId="0" xfId="2" applyFont="1" applyFill="1" applyBorder="1" applyAlignment="1">
      <alignment horizontal="center"/>
    </xf>
    <xf numFmtId="164" fontId="4" fillId="2" borderId="0" xfId="2" applyNumberFormat="1" applyFont="1" applyFill="1" applyBorder="1" applyAlignment="1">
      <alignment horizontal="right"/>
    </xf>
    <xf numFmtId="165" fontId="4" fillId="2" borderId="0" xfId="2" applyNumberFormat="1" applyFont="1" applyFill="1" applyBorder="1" applyAlignment="1">
      <alignment horizontal="center"/>
    </xf>
    <xf numFmtId="0" fontId="6" fillId="2" borderId="0" xfId="2" applyFont="1" applyFill="1"/>
    <xf numFmtId="0" fontId="6" fillId="2" borderId="0" xfId="2" applyFont="1" applyFill="1" applyAlignment="1">
      <alignment horizontal="left" vertical="center"/>
    </xf>
    <xf numFmtId="0" fontId="6" fillId="2" borderId="0" xfId="2" applyFont="1" applyFill="1" applyAlignment="1"/>
    <xf numFmtId="164" fontId="4" fillId="4" borderId="2" xfId="0" applyNumberFormat="1" applyFont="1" applyFill="1" applyBorder="1"/>
    <xf numFmtId="164" fontId="4" fillId="4" borderId="2" xfId="0" applyNumberFormat="1" applyFont="1" applyFill="1" applyBorder="1" applyAlignment="1">
      <alignment horizontal="center"/>
    </xf>
    <xf numFmtId="164" fontId="4" fillId="4" borderId="3" xfId="0" applyNumberFormat="1" applyFont="1" applyFill="1" applyBorder="1"/>
    <xf numFmtId="164" fontId="4" fillId="4" borderId="3" xfId="0" applyNumberFormat="1" applyFont="1" applyFill="1" applyBorder="1" applyAlignment="1">
      <alignment horizontal="center"/>
    </xf>
    <xf numFmtId="164" fontId="4" fillId="2" borderId="3" xfId="0" applyNumberFormat="1" applyFont="1" applyFill="1" applyBorder="1"/>
    <xf numFmtId="164" fontId="4" fillId="2" borderId="3" xfId="0" applyNumberFormat="1" applyFont="1" applyFill="1" applyBorder="1" applyAlignment="1">
      <alignment horizontal="center"/>
    </xf>
    <xf numFmtId="164" fontId="4" fillId="2" borderId="4" xfId="0" applyNumberFormat="1" applyFont="1" applyFill="1" applyBorder="1"/>
    <xf numFmtId="0" fontId="4" fillId="2" borderId="0" xfId="0" applyFont="1" applyFill="1" applyBorder="1"/>
    <xf numFmtId="164" fontId="4" fillId="2" borderId="0" xfId="0" applyNumberFormat="1" applyFont="1" applyFill="1" applyBorder="1"/>
    <xf numFmtId="164" fontId="4" fillId="2" borderId="0" xfId="0" applyNumberFormat="1" applyFont="1" applyFill="1" applyBorder="1" applyAlignment="1">
      <alignment horizontal="center"/>
    </xf>
    <xf numFmtId="0" fontId="5" fillId="2" borderId="0" xfId="2" applyFont="1" applyFill="1"/>
    <xf numFmtId="0" fontId="4" fillId="4" borderId="7" xfId="0" applyFont="1" applyFill="1" applyBorder="1"/>
    <xf numFmtId="0" fontId="4" fillId="4" borderId="8" xfId="0" applyFont="1" applyFill="1" applyBorder="1"/>
    <xf numFmtId="0" fontId="4" fillId="2" borderId="8" xfId="0" applyFont="1" applyFill="1" applyBorder="1"/>
    <xf numFmtId="0" fontId="4" fillId="2" borderId="10" xfId="0" applyFont="1" applyFill="1" applyBorder="1"/>
    <xf numFmtId="165" fontId="4" fillId="2" borderId="0" xfId="0" applyNumberFormat="1" applyFont="1" applyFill="1"/>
    <xf numFmtId="164" fontId="4" fillId="0" borderId="4" xfId="0" applyNumberFormat="1" applyFont="1" applyFill="1" applyBorder="1" applyAlignment="1">
      <alignment horizontal="center"/>
    </xf>
    <xf numFmtId="0" fontId="3" fillId="3" borderId="2" xfId="2" applyFont="1" applyFill="1" applyBorder="1" applyAlignment="1">
      <alignment horizontal="center" vertical="center"/>
    </xf>
    <xf numFmtId="0" fontId="7" fillId="5" borderId="0" xfId="2" applyFont="1" applyFill="1" applyAlignment="1">
      <alignment horizontal="left" vertical="center"/>
    </xf>
    <xf numFmtId="0" fontId="3" fillId="3" borderId="11" xfId="2" applyFont="1" applyFill="1" applyBorder="1" applyAlignment="1">
      <alignment horizontal="center" vertical="center"/>
    </xf>
    <xf numFmtId="0" fontId="3" fillId="3" borderId="12" xfId="2" applyFont="1" applyFill="1" applyBorder="1" applyAlignment="1">
      <alignment horizontal="center" vertical="center"/>
    </xf>
    <xf numFmtId="0" fontId="3" fillId="3" borderId="2" xfId="2" applyFont="1" applyFill="1" applyBorder="1" applyAlignment="1">
      <alignment horizontal="center" vertical="center"/>
    </xf>
    <xf numFmtId="0" fontId="3" fillId="3" borderId="4" xfId="2" applyFont="1" applyFill="1" applyBorder="1" applyAlignment="1">
      <alignment horizontal="center" vertical="center"/>
    </xf>
    <xf numFmtId="0" fontId="4" fillId="2" borderId="1" xfId="2" applyFont="1" applyFill="1" applyBorder="1" applyAlignment="1">
      <alignment horizontal="center" vertical="center"/>
    </xf>
    <xf numFmtId="0" fontId="4" fillId="4" borderId="1" xfId="2" applyFont="1" applyFill="1" applyBorder="1" applyAlignment="1">
      <alignment horizontal="center" vertical="center"/>
    </xf>
    <xf numFmtId="0" fontId="4" fillId="2" borderId="2" xfId="2" applyFont="1" applyFill="1" applyBorder="1" applyAlignment="1">
      <alignment horizontal="center" vertical="center"/>
    </xf>
    <xf numFmtId="0" fontId="4" fillId="2" borderId="3" xfId="2" applyFont="1" applyFill="1" applyBorder="1" applyAlignment="1">
      <alignment horizontal="center" vertical="center"/>
    </xf>
    <xf numFmtId="0" fontId="4" fillId="2" borderId="4" xfId="2" applyFont="1" applyFill="1" applyBorder="1" applyAlignment="1">
      <alignment horizontal="center" vertical="center"/>
    </xf>
    <xf numFmtId="0" fontId="4" fillId="2" borderId="5" xfId="2" applyFont="1" applyFill="1" applyBorder="1" applyAlignment="1">
      <alignment horizontal="center" vertical="center"/>
    </xf>
    <xf numFmtId="0" fontId="4" fillId="2" borderId="6" xfId="2" applyFont="1" applyFill="1" applyBorder="1" applyAlignment="1">
      <alignment horizontal="center" vertical="center"/>
    </xf>
    <xf numFmtId="0" fontId="4" fillId="2" borderId="13" xfId="2" applyFont="1" applyFill="1" applyBorder="1" applyAlignment="1">
      <alignment horizontal="center" vertical="center"/>
    </xf>
    <xf numFmtId="0" fontId="6" fillId="2" borderId="0" xfId="2" applyFont="1" applyFill="1" applyAlignment="1">
      <alignment horizontal="left" vertical="center" wrapText="1"/>
    </xf>
    <xf numFmtId="0" fontId="4" fillId="2" borderId="14" xfId="2" applyFont="1" applyFill="1" applyBorder="1" applyAlignment="1">
      <alignment horizontal="center" vertical="center"/>
    </xf>
    <xf numFmtId="0" fontId="4" fillId="2" borderId="0" xfId="2" applyFont="1" applyFill="1" applyBorder="1" applyAlignment="1">
      <alignment horizontal="center" vertical="center"/>
    </xf>
    <xf numFmtId="0" fontId="4" fillId="2" borderId="10" xfId="2" applyFont="1" applyFill="1" applyBorder="1" applyAlignment="1">
      <alignment horizontal="center" vertical="center"/>
    </xf>
    <xf numFmtId="0" fontId="3" fillId="3" borderId="3" xfId="2" applyFont="1" applyFill="1" applyBorder="1" applyAlignment="1">
      <alignment horizontal="center" vertical="center"/>
    </xf>
    <xf numFmtId="0" fontId="3" fillId="3" borderId="7" xfId="2" applyFont="1" applyFill="1" applyBorder="1" applyAlignment="1">
      <alignment horizontal="center" vertical="center"/>
    </xf>
    <xf numFmtId="0" fontId="3" fillId="3" borderId="5" xfId="2" applyFont="1" applyFill="1" applyBorder="1" applyAlignment="1">
      <alignment horizontal="center" vertical="center"/>
    </xf>
  </cellXfs>
  <cellStyles count="3">
    <cellStyle name="Normal" xfId="0" builtinId="0"/>
    <cellStyle name="Normal 2" xfId="1" xr:uid="{D862A6EC-19F1-4467-ACDE-CEC909D8B9FE}"/>
    <cellStyle name="Normal 3" xfId="2" xr:uid="{9F51EC95-695F-4D13-BFC3-6B3BE6C1555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466596675415572E-2"/>
          <c:y val="7.8142311781617235E-2"/>
          <c:w val="0.9529975185533619"/>
          <c:h val="0.77020551601873588"/>
        </c:manualLayout>
      </c:layout>
      <c:barChart>
        <c:barDir val="col"/>
        <c:grouping val="clustered"/>
        <c:varyColors val="0"/>
        <c:ser>
          <c:idx val="1"/>
          <c:order val="0"/>
          <c:spPr>
            <a:solidFill>
              <a:srgbClr val="621132"/>
            </a:solidFill>
            <a:ln>
              <a:noFill/>
            </a:ln>
            <a:effectLst>
              <a:outerShdw blurRad="57150" dist="19050" dir="5400000" algn="ctr" rotWithShape="0">
                <a:srgbClr val="000000">
                  <a:alpha val="63000"/>
                </a:srgbClr>
              </a:outerShdw>
            </a:effectLst>
            <a:scene3d>
              <a:camera prst="orthographicFront"/>
              <a:lightRig rig="threePt" dir="t"/>
            </a:scene3d>
          </c:spPr>
          <c:invertIfNegative val="0"/>
          <c:dPt>
            <c:idx val="44"/>
            <c:invertIfNegative val="0"/>
            <c:bubble3D val="0"/>
            <c:extLst>
              <c:ext xmlns:c16="http://schemas.microsoft.com/office/drawing/2014/chart" uri="{C3380CC4-5D6E-409C-BE32-E72D297353CC}">
                <c16:uniqueId val="{00000000-721E-459A-8DE9-A55E5DF6330D}"/>
              </c:ext>
            </c:extLst>
          </c:dPt>
          <c:dPt>
            <c:idx val="45"/>
            <c:invertIfNegative val="0"/>
            <c:bubble3D val="0"/>
            <c:extLst>
              <c:ext xmlns:c16="http://schemas.microsoft.com/office/drawing/2014/chart" uri="{C3380CC4-5D6E-409C-BE32-E72D297353CC}">
                <c16:uniqueId val="{00000001-721E-459A-8DE9-A55E5DF6330D}"/>
              </c:ext>
            </c:extLst>
          </c:dPt>
          <c:dLbls>
            <c:dLbl>
              <c:idx val="0"/>
              <c:layout>
                <c:manualLayout>
                  <c:x val="3.555137274837515E-3"/>
                  <c:y val="0"/>
                </c:manualLayout>
              </c:layout>
              <c:spPr>
                <a:noFill/>
                <a:ln w="25400">
                  <a:noFill/>
                </a:ln>
              </c:spPr>
              <c:txPr>
                <a:bodyPr/>
                <a:lstStyle/>
                <a:p>
                  <a:pPr>
                    <a:defRPr sz="900" b="1" i="0" u="none" strike="noStrike" baseline="0">
                      <a:solidFill>
                        <a:srgbClr val="000000"/>
                      </a:solidFill>
                      <a:latin typeface="Noto Sans"/>
                      <a:ea typeface="Noto Sans"/>
                      <a:cs typeface="Noto San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21E-459A-8DE9-A55E5DF6330D}"/>
                </c:ext>
              </c:extLst>
            </c:dLbl>
            <c:dLbl>
              <c:idx val="1"/>
              <c:layout>
                <c:manualLayout>
                  <c:x val="-3.2797747256673116E-18"/>
                  <c:y val="4.5792784884006038E-3"/>
                </c:manualLayout>
              </c:layout>
              <c:spPr>
                <a:noFill/>
                <a:ln w="25400">
                  <a:noFill/>
                </a:ln>
              </c:spPr>
              <c:txPr>
                <a:bodyPr/>
                <a:lstStyle/>
                <a:p>
                  <a:pPr>
                    <a:defRPr sz="900" b="1" i="0" u="none" strike="noStrike" baseline="0">
                      <a:solidFill>
                        <a:srgbClr val="000000"/>
                      </a:solidFill>
                      <a:latin typeface="Noto Sans"/>
                      <a:ea typeface="Noto Sans"/>
                      <a:cs typeface="Noto San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21E-459A-8DE9-A55E5DF6330D}"/>
                </c:ext>
              </c:extLst>
            </c:dLbl>
            <c:dLbl>
              <c:idx val="11"/>
              <c:layout>
                <c:manualLayout>
                  <c:x val="-1.4311909587948291E-3"/>
                  <c:y val="0"/>
                </c:manualLayout>
              </c:layout>
              <c:spPr>
                <a:noFill/>
                <a:ln w="25400">
                  <a:noFill/>
                </a:ln>
              </c:spPr>
              <c:txPr>
                <a:bodyPr/>
                <a:lstStyle/>
                <a:p>
                  <a:pPr>
                    <a:defRPr sz="900" b="1" i="0" u="none" strike="noStrike" baseline="0">
                      <a:solidFill>
                        <a:srgbClr val="000000"/>
                      </a:solidFill>
                      <a:latin typeface="Noto Sans"/>
                      <a:ea typeface="Noto Sans"/>
                      <a:cs typeface="Noto San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21E-459A-8DE9-A55E5DF6330D}"/>
                </c:ext>
              </c:extLst>
            </c:dLbl>
            <c:dLbl>
              <c:idx val="41"/>
              <c:layout>
                <c:manualLayout>
                  <c:x val="3.5779773969870201E-3"/>
                  <c:y val="3.0528523256004021E-3"/>
                </c:manualLayout>
              </c:layout>
              <c:spPr>
                <a:noFill/>
                <a:ln w="25400">
                  <a:noFill/>
                </a:ln>
              </c:spPr>
              <c:txPr>
                <a:bodyPr/>
                <a:lstStyle/>
                <a:p>
                  <a:pPr>
                    <a:defRPr sz="900" b="1" i="0" u="none" strike="noStrike" baseline="0">
                      <a:solidFill>
                        <a:srgbClr val="000000"/>
                      </a:solidFill>
                      <a:latin typeface="Noto Sans"/>
                      <a:ea typeface="Noto Sans"/>
                      <a:cs typeface="Noto San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21E-459A-8DE9-A55E5DF6330D}"/>
                </c:ext>
              </c:extLst>
            </c:dLbl>
            <c:dLbl>
              <c:idx val="44"/>
              <c:layout>
                <c:manualLayout>
                  <c:x val="-3.577977396987125E-3"/>
                  <c:y val="-5.5968312751949165E-17"/>
                </c:manualLayout>
              </c:layout>
              <c:spPr>
                <a:noFill/>
                <a:ln w="25400">
                  <a:noFill/>
                </a:ln>
              </c:spPr>
              <c:txPr>
                <a:bodyPr/>
                <a:lstStyle/>
                <a:p>
                  <a:pPr>
                    <a:defRPr sz="900" b="1" i="0" u="none" strike="noStrike" baseline="0">
                      <a:solidFill>
                        <a:srgbClr val="000000"/>
                      </a:solidFill>
                      <a:latin typeface="Noto Sans"/>
                      <a:ea typeface="Noto Sans"/>
                      <a:cs typeface="Noto San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21E-459A-8DE9-A55E5DF6330D}"/>
                </c:ext>
              </c:extLst>
            </c:dLbl>
            <c:dLbl>
              <c:idx val="45"/>
              <c:layout>
                <c:manualLayout>
                  <c:x val="5.0091683557819018E-3"/>
                  <c:y val="3.0528523256002902E-3"/>
                </c:manualLayout>
              </c:layout>
              <c:spPr>
                <a:noFill/>
                <a:ln w="25400">
                  <a:noFill/>
                </a:ln>
              </c:spPr>
              <c:txPr>
                <a:bodyPr/>
                <a:lstStyle/>
                <a:p>
                  <a:pPr>
                    <a:defRPr sz="900" b="1" i="0" u="none" strike="noStrike" baseline="0">
                      <a:solidFill>
                        <a:srgbClr val="000000"/>
                      </a:solidFill>
                      <a:latin typeface="Noto Sans"/>
                      <a:ea typeface="Noto Sans"/>
                      <a:cs typeface="Noto San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21E-459A-8DE9-A55E5DF6330D}"/>
                </c:ext>
              </c:extLst>
            </c:dLbl>
            <c:dLbl>
              <c:idx val="90"/>
              <c:layout>
                <c:manualLayout>
                  <c:x val="2.8623819175895532E-3"/>
                  <c:y val="1.5264261628002011E-3"/>
                </c:manualLayout>
              </c:layout>
              <c:spPr>
                <a:noFill/>
                <a:ln w="25400">
                  <a:noFill/>
                </a:ln>
              </c:spPr>
              <c:txPr>
                <a:bodyPr/>
                <a:lstStyle/>
                <a:p>
                  <a:pPr>
                    <a:defRPr sz="900" b="1" i="0" u="none" strike="noStrike" baseline="0">
                      <a:solidFill>
                        <a:srgbClr val="000000"/>
                      </a:solidFill>
                      <a:latin typeface="Noto Sans"/>
                      <a:ea typeface="Noto Sans"/>
                      <a:cs typeface="Noto San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21E-459A-8DE9-A55E5DF6330D}"/>
                </c:ext>
              </c:extLst>
            </c:dLbl>
            <c:spPr>
              <a:noFill/>
              <a:ln w="25400">
                <a:noFill/>
              </a:ln>
            </c:spPr>
            <c:txPr>
              <a:bodyPr wrap="square" lIns="38100" tIns="19050" rIns="38100" bIns="19050" anchor="ctr">
                <a:spAutoFit/>
              </a:bodyPr>
              <a:lstStyle/>
              <a:p>
                <a:pPr>
                  <a:defRPr sz="900" b="1" i="0" u="none" strike="noStrike" baseline="0">
                    <a:solidFill>
                      <a:srgbClr val="000000"/>
                    </a:solidFill>
                    <a:latin typeface="Noto Sans"/>
                    <a:ea typeface="Noto Sans"/>
                    <a:cs typeface="Noto San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IED_FBKF_Trimestral!$A$8:$B$115</c:f>
              <c:multiLvlStrCache>
                <c:ptCount val="108"/>
                <c:lvl>
                  <c:pt idx="0">
                    <c:v>I</c:v>
                  </c:pt>
                  <c:pt idx="1">
                    <c:v>II</c:v>
                  </c:pt>
                  <c:pt idx="2">
                    <c:v>III</c:v>
                  </c:pt>
                  <c:pt idx="3">
                    <c:v>IV</c:v>
                  </c:pt>
                  <c:pt idx="4">
                    <c:v>I</c:v>
                  </c:pt>
                  <c:pt idx="5">
                    <c:v>II</c:v>
                  </c:pt>
                  <c:pt idx="6">
                    <c:v>III</c:v>
                  </c:pt>
                  <c:pt idx="7">
                    <c:v>IV</c:v>
                  </c:pt>
                  <c:pt idx="8">
                    <c:v>I</c:v>
                  </c:pt>
                  <c:pt idx="9">
                    <c:v>II</c:v>
                  </c:pt>
                  <c:pt idx="10">
                    <c:v>III</c:v>
                  </c:pt>
                  <c:pt idx="11">
                    <c:v>IV</c:v>
                  </c:pt>
                  <c:pt idx="12">
                    <c:v>I</c:v>
                  </c:pt>
                  <c:pt idx="13">
                    <c:v>II</c:v>
                  </c:pt>
                  <c:pt idx="14">
                    <c:v>III</c:v>
                  </c:pt>
                  <c:pt idx="15">
                    <c:v>IV</c:v>
                  </c:pt>
                  <c:pt idx="16">
                    <c:v>I</c:v>
                  </c:pt>
                  <c:pt idx="17">
                    <c:v>II</c:v>
                  </c:pt>
                  <c:pt idx="18">
                    <c:v>III</c:v>
                  </c:pt>
                  <c:pt idx="19">
                    <c:v>IV</c:v>
                  </c:pt>
                  <c:pt idx="20">
                    <c:v>I</c:v>
                  </c:pt>
                  <c:pt idx="21">
                    <c:v>II</c:v>
                  </c:pt>
                  <c:pt idx="22">
                    <c:v>III</c:v>
                  </c:pt>
                  <c:pt idx="23">
                    <c:v>IV</c:v>
                  </c:pt>
                  <c:pt idx="24">
                    <c:v>I</c:v>
                  </c:pt>
                  <c:pt idx="25">
                    <c:v>II</c:v>
                  </c:pt>
                  <c:pt idx="26">
                    <c:v>III</c:v>
                  </c:pt>
                  <c:pt idx="27">
                    <c:v>IV</c:v>
                  </c:pt>
                  <c:pt idx="28">
                    <c:v>I</c:v>
                  </c:pt>
                  <c:pt idx="29">
                    <c:v>II</c:v>
                  </c:pt>
                  <c:pt idx="30">
                    <c:v>III</c:v>
                  </c:pt>
                  <c:pt idx="31">
                    <c:v>IV</c:v>
                  </c:pt>
                  <c:pt idx="32">
                    <c:v>I</c:v>
                  </c:pt>
                  <c:pt idx="33">
                    <c:v>II</c:v>
                  </c:pt>
                  <c:pt idx="34">
                    <c:v>III</c:v>
                  </c:pt>
                  <c:pt idx="35">
                    <c:v>IV</c:v>
                  </c:pt>
                  <c:pt idx="36">
                    <c:v>I</c:v>
                  </c:pt>
                  <c:pt idx="37">
                    <c:v>II</c:v>
                  </c:pt>
                  <c:pt idx="38">
                    <c:v>III</c:v>
                  </c:pt>
                  <c:pt idx="39">
                    <c:v>IV</c:v>
                  </c:pt>
                  <c:pt idx="40">
                    <c:v>I</c:v>
                  </c:pt>
                  <c:pt idx="41">
                    <c:v>II</c:v>
                  </c:pt>
                  <c:pt idx="42">
                    <c:v>III</c:v>
                  </c:pt>
                  <c:pt idx="43">
                    <c:v>IV</c:v>
                  </c:pt>
                  <c:pt idx="44">
                    <c:v>I</c:v>
                  </c:pt>
                  <c:pt idx="45">
                    <c:v>II</c:v>
                  </c:pt>
                  <c:pt idx="46">
                    <c:v>III</c:v>
                  </c:pt>
                  <c:pt idx="47">
                    <c:v>IV</c:v>
                  </c:pt>
                  <c:pt idx="48">
                    <c:v>I</c:v>
                  </c:pt>
                  <c:pt idx="49">
                    <c:v>II</c:v>
                  </c:pt>
                  <c:pt idx="50">
                    <c:v>III</c:v>
                  </c:pt>
                  <c:pt idx="51">
                    <c:v>IV</c:v>
                  </c:pt>
                  <c:pt idx="52">
                    <c:v>I</c:v>
                  </c:pt>
                  <c:pt idx="53">
                    <c:v>II</c:v>
                  </c:pt>
                  <c:pt idx="54">
                    <c:v>III</c:v>
                  </c:pt>
                  <c:pt idx="55">
                    <c:v>IV</c:v>
                  </c:pt>
                  <c:pt idx="56">
                    <c:v>I</c:v>
                  </c:pt>
                  <c:pt idx="57">
                    <c:v>II</c:v>
                  </c:pt>
                  <c:pt idx="58">
                    <c:v>III</c:v>
                  </c:pt>
                  <c:pt idx="59">
                    <c:v>IV</c:v>
                  </c:pt>
                  <c:pt idx="60">
                    <c:v>I</c:v>
                  </c:pt>
                  <c:pt idx="61">
                    <c:v>II</c:v>
                  </c:pt>
                  <c:pt idx="62">
                    <c:v>III</c:v>
                  </c:pt>
                  <c:pt idx="63">
                    <c:v>IV</c:v>
                  </c:pt>
                  <c:pt idx="64">
                    <c:v>I</c:v>
                  </c:pt>
                  <c:pt idx="65">
                    <c:v>II</c:v>
                  </c:pt>
                  <c:pt idx="66">
                    <c:v>III</c:v>
                  </c:pt>
                  <c:pt idx="67">
                    <c:v>IV</c:v>
                  </c:pt>
                  <c:pt idx="68">
                    <c:v>I</c:v>
                  </c:pt>
                  <c:pt idx="69">
                    <c:v>II</c:v>
                  </c:pt>
                  <c:pt idx="70">
                    <c:v>III</c:v>
                  </c:pt>
                  <c:pt idx="71">
                    <c:v>IV</c:v>
                  </c:pt>
                  <c:pt idx="72">
                    <c:v>I</c:v>
                  </c:pt>
                  <c:pt idx="73">
                    <c:v>II</c:v>
                  </c:pt>
                  <c:pt idx="74">
                    <c:v>III</c:v>
                  </c:pt>
                  <c:pt idx="75">
                    <c:v>IV</c:v>
                  </c:pt>
                  <c:pt idx="76">
                    <c:v>I</c:v>
                  </c:pt>
                  <c:pt idx="77">
                    <c:v>II</c:v>
                  </c:pt>
                  <c:pt idx="78">
                    <c:v>III</c:v>
                  </c:pt>
                  <c:pt idx="79">
                    <c:v>IV</c:v>
                  </c:pt>
                  <c:pt idx="80">
                    <c:v>I</c:v>
                  </c:pt>
                  <c:pt idx="81">
                    <c:v>II</c:v>
                  </c:pt>
                  <c:pt idx="82">
                    <c:v>III</c:v>
                  </c:pt>
                  <c:pt idx="83">
                    <c:v>IV</c:v>
                  </c:pt>
                  <c:pt idx="84">
                    <c:v>I</c:v>
                  </c:pt>
                  <c:pt idx="85">
                    <c:v>II</c:v>
                  </c:pt>
                  <c:pt idx="86">
                    <c:v>III</c:v>
                  </c:pt>
                  <c:pt idx="87">
                    <c:v>IV</c:v>
                  </c:pt>
                  <c:pt idx="88">
                    <c:v>I</c:v>
                  </c:pt>
                  <c:pt idx="89">
                    <c:v>II</c:v>
                  </c:pt>
                  <c:pt idx="90">
                    <c:v>III</c:v>
                  </c:pt>
                  <c:pt idx="91">
                    <c:v>IV</c:v>
                  </c:pt>
                  <c:pt idx="92">
                    <c:v>I</c:v>
                  </c:pt>
                  <c:pt idx="93">
                    <c:v>II</c:v>
                  </c:pt>
                  <c:pt idx="94">
                    <c:v>III</c:v>
                  </c:pt>
                  <c:pt idx="95">
                    <c:v>IV</c:v>
                  </c:pt>
                  <c:pt idx="96">
                    <c:v>I</c:v>
                  </c:pt>
                  <c:pt idx="97">
                    <c:v>II</c:v>
                  </c:pt>
                  <c:pt idx="98">
                    <c:v>III</c:v>
                  </c:pt>
                  <c:pt idx="99">
                    <c:v>IV</c:v>
                  </c:pt>
                  <c:pt idx="100">
                    <c:v>I</c:v>
                  </c:pt>
                  <c:pt idx="101">
                    <c:v>II</c:v>
                  </c:pt>
                  <c:pt idx="102">
                    <c:v>III</c:v>
                  </c:pt>
                  <c:pt idx="103">
                    <c:v>IV</c:v>
                  </c:pt>
                  <c:pt idx="104">
                    <c:v>I</c:v>
                  </c:pt>
                  <c:pt idx="105">
                    <c:v>II</c:v>
                  </c:pt>
                  <c:pt idx="106">
                    <c:v>III</c:v>
                  </c:pt>
                  <c:pt idx="107">
                    <c:v>IV</c:v>
                  </c:pt>
                </c:lvl>
                <c:lvl>
                  <c:pt idx="0">
                    <c:v>1999</c:v>
                  </c:pt>
                  <c:pt idx="4">
                    <c:v>2000</c:v>
                  </c:pt>
                  <c:pt idx="8">
                    <c:v>2001</c:v>
                  </c:pt>
                  <c:pt idx="12">
                    <c:v>2002</c:v>
                  </c:pt>
                  <c:pt idx="16">
                    <c:v>2003</c:v>
                  </c:pt>
                  <c:pt idx="20">
                    <c:v>2004</c:v>
                  </c:pt>
                  <c:pt idx="24">
                    <c:v>2005</c:v>
                  </c:pt>
                  <c:pt idx="28">
                    <c:v>2006</c:v>
                  </c:pt>
                  <c:pt idx="32">
                    <c:v>2007</c:v>
                  </c:pt>
                  <c:pt idx="36">
                    <c:v>2008</c:v>
                  </c:pt>
                  <c:pt idx="40">
                    <c:v>2009</c:v>
                  </c:pt>
                  <c:pt idx="44">
                    <c:v>2010</c:v>
                  </c:pt>
                  <c:pt idx="48">
                    <c:v>2011</c:v>
                  </c:pt>
                  <c:pt idx="52">
                    <c:v>2012</c:v>
                  </c:pt>
                  <c:pt idx="56">
                    <c:v>2013</c:v>
                  </c:pt>
                  <c:pt idx="60">
                    <c:v>2014</c:v>
                  </c:pt>
                  <c:pt idx="64">
                    <c:v>2015</c:v>
                  </c:pt>
                  <c:pt idx="68">
                    <c:v>2016</c:v>
                  </c:pt>
                  <c:pt idx="72">
                    <c:v>2017</c:v>
                  </c:pt>
                  <c:pt idx="76">
                    <c:v>2018</c:v>
                  </c:pt>
                  <c:pt idx="80">
                    <c:v>2019</c:v>
                  </c:pt>
                  <c:pt idx="84">
                    <c:v>2020</c:v>
                  </c:pt>
                  <c:pt idx="88">
                    <c:v>2021</c:v>
                  </c:pt>
                  <c:pt idx="92">
                    <c:v>2022</c:v>
                  </c:pt>
                  <c:pt idx="96">
                    <c:v>2023</c:v>
                  </c:pt>
                  <c:pt idx="100">
                    <c:v>2024</c:v>
                  </c:pt>
                  <c:pt idx="104">
                    <c:v>2025</c:v>
                  </c:pt>
                </c:lvl>
              </c:multiLvlStrCache>
            </c:multiLvlStrRef>
          </c:cat>
          <c:val>
            <c:numRef>
              <c:f>IED_FBKF_Trimestral!$E$8:$E$115</c:f>
              <c:numCache>
                <c:formatCode>#,##0.0</c:formatCode>
                <c:ptCount val="108"/>
                <c:pt idx="0">
                  <c:v>11.847175756057394</c:v>
                </c:pt>
                <c:pt idx="1">
                  <c:v>11.105868753376479</c:v>
                </c:pt>
                <c:pt idx="2">
                  <c:v>8.8040005744072314</c:v>
                </c:pt>
                <c:pt idx="3">
                  <c:v>10.703827707171227</c:v>
                </c:pt>
                <c:pt idx="4" formatCode="0.0">
                  <c:v>12.38671048306929</c:v>
                </c:pt>
                <c:pt idx="5" formatCode="0.0">
                  <c:v>13.314433691460881</c:v>
                </c:pt>
                <c:pt idx="6" formatCode="0.0">
                  <c:v>7.3151115677930756</c:v>
                </c:pt>
                <c:pt idx="7" formatCode="0.0">
                  <c:v>13.617478456780407</c:v>
                </c:pt>
                <c:pt idx="8" formatCode="0.0">
                  <c:v>9.5251429099614668</c:v>
                </c:pt>
                <c:pt idx="9" formatCode="0.0">
                  <c:v>14.102345920828121</c:v>
                </c:pt>
                <c:pt idx="10" formatCode="0.0">
                  <c:v>40.025520562136755</c:v>
                </c:pt>
                <c:pt idx="11" formatCode="0.0">
                  <c:v>11.955536595717859</c:v>
                </c:pt>
                <c:pt idx="12" formatCode="0.0">
                  <c:v>13.42541367027372</c:v>
                </c:pt>
                <c:pt idx="13" formatCode="0.0">
                  <c:v>16.509306554667589</c:v>
                </c:pt>
                <c:pt idx="14" formatCode="0.0">
                  <c:v>15.366007047079517</c:v>
                </c:pt>
                <c:pt idx="15" formatCode="0.0">
                  <c:v>16.1455850813363</c:v>
                </c:pt>
                <c:pt idx="16" formatCode="0.0">
                  <c:v>10.566538018503948</c:v>
                </c:pt>
                <c:pt idx="17" formatCode="0.0">
                  <c:v>14.72589106570245</c:v>
                </c:pt>
                <c:pt idx="18" formatCode="0.0">
                  <c:v>6.4724471280715097</c:v>
                </c:pt>
                <c:pt idx="19" formatCode="0.0">
                  <c:v>15.67079032002443</c:v>
                </c:pt>
                <c:pt idx="20" formatCode="0.0">
                  <c:v>23.031794337360687</c:v>
                </c:pt>
                <c:pt idx="21" formatCode="0.0">
                  <c:v>10.641166971724095</c:v>
                </c:pt>
                <c:pt idx="22" formatCode="0.0">
                  <c:v>7.748289792997487</c:v>
                </c:pt>
                <c:pt idx="23" formatCode="0.0">
                  <c:v>17.308049020571858</c:v>
                </c:pt>
                <c:pt idx="24" formatCode="0.0">
                  <c:v>15.464849802694339</c:v>
                </c:pt>
                <c:pt idx="25" formatCode="0.0">
                  <c:v>14.836581381264994</c:v>
                </c:pt>
                <c:pt idx="26" formatCode="0.0">
                  <c:v>11.490792843145215</c:v>
                </c:pt>
                <c:pt idx="27" formatCode="0.0">
                  <c:v>12.731443378753227</c:v>
                </c:pt>
                <c:pt idx="28" formatCode="0.0">
                  <c:v>14.374471040011613</c:v>
                </c:pt>
                <c:pt idx="29" formatCode="0.0">
                  <c:v>12.679587484233497</c:v>
                </c:pt>
                <c:pt idx="30" formatCode="0.0">
                  <c:v>4.1400490552272409</c:v>
                </c:pt>
                <c:pt idx="31" formatCode="0.0">
                  <c:v>7.986666254798064</c:v>
                </c:pt>
                <c:pt idx="32" formatCode="0.0">
                  <c:v>19.343937741275582</c:v>
                </c:pt>
                <c:pt idx="33" formatCode="0.0">
                  <c:v>10.591263341399403</c:v>
                </c:pt>
                <c:pt idx="34" formatCode="0.0">
                  <c:v>12.098827491233962</c:v>
                </c:pt>
                <c:pt idx="35" formatCode="0.0">
                  <c:v>11.220385798717297</c:v>
                </c:pt>
                <c:pt idx="36" formatCode="0.0">
                  <c:v>13.258590920929834</c:v>
                </c:pt>
                <c:pt idx="37" formatCode="0.0">
                  <c:v>11.537751587536345</c:v>
                </c:pt>
                <c:pt idx="38" formatCode="0.0">
                  <c:v>7.5883564859153836</c:v>
                </c:pt>
                <c:pt idx="39" formatCode="0.0">
                  <c:v>10.997487883281694</c:v>
                </c:pt>
                <c:pt idx="40" formatCode="0.0">
                  <c:v>12.678025099737306</c:v>
                </c:pt>
                <c:pt idx="41" formatCode="0.0">
                  <c:v>11.735470810961804</c:v>
                </c:pt>
                <c:pt idx="42" formatCode="0.0">
                  <c:v>4.386602606419812</c:v>
                </c:pt>
                <c:pt idx="43" formatCode="0.0">
                  <c:v>5.3509155788169789</c:v>
                </c:pt>
                <c:pt idx="44" formatCode="0.0">
                  <c:v>15.176045551534067</c:v>
                </c:pt>
                <c:pt idx="45" formatCode="0.0">
                  <c:v>15.341079647104333</c:v>
                </c:pt>
                <c:pt idx="46" formatCode="0.0">
                  <c:v>6.4599779187667838</c:v>
                </c:pt>
                <c:pt idx="47" formatCode="0.0">
                  <c:v>7.4210515035453968</c:v>
                </c:pt>
                <c:pt idx="48" formatCode="0.0">
                  <c:v>13.015612128980758</c:v>
                </c:pt>
                <c:pt idx="49" formatCode="0.0">
                  <c:v>9.4743383567762507</c:v>
                </c:pt>
                <c:pt idx="50" formatCode="0.0">
                  <c:v>5.8884892838582896</c:v>
                </c:pt>
                <c:pt idx="51" formatCode="0.0">
                  <c:v>7.8869120081689514</c:v>
                </c:pt>
                <c:pt idx="52" formatCode="0.0">
                  <c:v>11.209931325471679</c:v>
                </c:pt>
                <c:pt idx="53" formatCode="0.0">
                  <c:v>7.9779659771899905</c:v>
                </c:pt>
                <c:pt idx="54" formatCode="0.0">
                  <c:v>7.6069497770118497</c:v>
                </c:pt>
                <c:pt idx="55" formatCode="0.0">
                  <c:v>3.1010683039473417</c:v>
                </c:pt>
                <c:pt idx="56" formatCode="0.0">
                  <c:v>15.078594941725907</c:v>
                </c:pt>
                <c:pt idx="57" formatCode="0.0">
                  <c:v>28.9893993519864</c:v>
                </c:pt>
                <c:pt idx="58" formatCode="0.0">
                  <c:v>5.8385847095250023</c:v>
                </c:pt>
                <c:pt idx="59" formatCode="0.0">
                  <c:v>16.200225767361925</c:v>
                </c:pt>
                <c:pt idx="60" formatCode="0.0">
                  <c:v>20.350685695720163</c:v>
                </c:pt>
                <c:pt idx="61" formatCode="0.0">
                  <c:v>7.6193916312277015</c:v>
                </c:pt>
                <c:pt idx="62" formatCode="0.0">
                  <c:v>4.3305474323776636</c:v>
                </c:pt>
                <c:pt idx="63" formatCode="0.0">
                  <c:v>9.675297211840423</c:v>
                </c:pt>
                <c:pt idx="64" formatCode="0.0">
                  <c:v>18.224737932047109</c:v>
                </c:pt>
                <c:pt idx="65" formatCode="0.0">
                  <c:v>9.6590525426074691</c:v>
                </c:pt>
                <c:pt idx="66" formatCode="0.0">
                  <c:v>13.550353401836848</c:v>
                </c:pt>
                <c:pt idx="67" formatCode="0.0">
                  <c:v>10.209729410458911</c:v>
                </c:pt>
                <c:pt idx="68" formatCode="0.0">
                  <c:v>20.898036668074923</c:v>
                </c:pt>
                <c:pt idx="69" formatCode="0.0">
                  <c:v>9.5119199580401883</c:v>
                </c:pt>
                <c:pt idx="70" formatCode="0.0">
                  <c:v>6.5251857966605984</c:v>
                </c:pt>
                <c:pt idx="71" formatCode="0.0">
                  <c:v>11.171673813414602</c:v>
                </c:pt>
                <c:pt idx="72" formatCode="0.0">
                  <c:v>21.984664930048869</c:v>
                </c:pt>
                <c:pt idx="73" formatCode="0.0">
                  <c:v>10.158513352358046</c:v>
                </c:pt>
                <c:pt idx="74" formatCode="0.0">
                  <c:v>8.7311365388911675</c:v>
                </c:pt>
                <c:pt idx="75" formatCode="0.0">
                  <c:v>9.476124589399646</c:v>
                </c:pt>
                <c:pt idx="76" formatCode="0.0">
                  <c:v>20.275573881894985</c:v>
                </c:pt>
                <c:pt idx="77" formatCode="0.0">
                  <c:v>13.34254740720467</c:v>
                </c:pt>
                <c:pt idx="78" formatCode="0.0">
                  <c:v>5.5705292859707445</c:v>
                </c:pt>
                <c:pt idx="79" formatCode="0.0">
                  <c:v>8.5246424824283373</c:v>
                </c:pt>
                <c:pt idx="80" formatCode="0.0">
                  <c:v>21.706058241758871</c:v>
                </c:pt>
                <c:pt idx="81" formatCode="0.0">
                  <c:v>9.3389593101471053</c:v>
                </c:pt>
                <c:pt idx="82" formatCode="0.0">
                  <c:v>11.721413306109028</c:v>
                </c:pt>
                <c:pt idx="83" formatCode="0.0">
                  <c:v>6.4308391308115995</c:v>
                </c:pt>
                <c:pt idx="84" formatCode="0.0">
                  <c:v>26.329279506893176</c:v>
                </c:pt>
                <c:pt idx="85" formatCode="0.0">
                  <c:v>16.881906534344285</c:v>
                </c:pt>
                <c:pt idx="86" formatCode="0.0">
                  <c:v>2.4235980275685707</c:v>
                </c:pt>
                <c:pt idx="87" formatCode="0.0">
                  <c:v>4.2743623159262851</c:v>
                </c:pt>
                <c:pt idx="88" formatCode="0.0">
                  <c:v>25.490114592972624</c:v>
                </c:pt>
                <c:pt idx="89" formatCode="0.0">
                  <c:v>8.6187845952459501</c:v>
                </c:pt>
                <c:pt idx="90" formatCode="0.0">
                  <c:v>8.9216335098187329</c:v>
                </c:pt>
                <c:pt idx="91" formatCode="0.0">
                  <c:v>6.6706259582065481</c:v>
                </c:pt>
                <c:pt idx="92" formatCode="0.0">
                  <c:v>30.021393633104097</c:v>
                </c:pt>
                <c:pt idx="93" formatCode="0.0">
                  <c:v>10.271490383536811</c:v>
                </c:pt>
                <c:pt idx="94" formatCode="0.0">
                  <c:v>4.203215659393738</c:v>
                </c:pt>
                <c:pt idx="95" formatCode="0.0">
                  <c:v>2.0030948057511115</c:v>
                </c:pt>
                <c:pt idx="96" formatCode="0.0">
                  <c:v>25.29712710186595</c:v>
                </c:pt>
                <c:pt idx="97" formatCode="0.0">
                  <c:v>8.4567120641968323</c:v>
                </c:pt>
                <c:pt idx="98" formatCode="0.0">
                  <c:v>2.6867467753331145</c:v>
                </c:pt>
                <c:pt idx="99" formatCode="0.0">
                  <c:v>1.0978260556809953</c:v>
                </c:pt>
                <c:pt idx="100" formatCode="0.0">
                  <c:v>24.897700766725176</c:v>
                </c:pt>
                <c:pt idx="101" formatCode="0.0">
                  <c:v>5.7230960815176664</c:v>
                </c:pt>
                <c:pt idx="102" formatCode="0.0">
                  <c:v>2.8538689350131845</c:v>
                </c:pt>
                <c:pt idx="103" formatCode="0.0">
                  <c:v>1.1131066892617674</c:v>
                </c:pt>
                <c:pt idx="104" formatCode="0.0">
                  <c:v>25.772815317990084</c:v>
                </c:pt>
                <c:pt idx="105" formatCode="0.0">
                  <c:v>13.705804613380627</c:v>
                </c:pt>
                <c:pt idx="106" formatCode="0.0">
                  <c:v>7.4605683898984729</c:v>
                </c:pt>
                <c:pt idx="107" formatCode="0.0">
                  <c:v>-4.4283120683521338</c:v>
                </c:pt>
              </c:numCache>
            </c:numRef>
          </c:val>
          <c:extLst>
            <c:ext xmlns:c16="http://schemas.microsoft.com/office/drawing/2014/chart" uri="{C3380CC4-5D6E-409C-BE32-E72D297353CC}">
              <c16:uniqueId val="{00000007-721E-459A-8DE9-A55E5DF6330D}"/>
            </c:ext>
          </c:extLst>
        </c:ser>
        <c:dLbls>
          <c:showLegendKey val="0"/>
          <c:showVal val="0"/>
          <c:showCatName val="0"/>
          <c:showSerName val="0"/>
          <c:showPercent val="0"/>
          <c:showBubbleSize val="0"/>
        </c:dLbls>
        <c:gapWidth val="90"/>
        <c:axId val="1791912720"/>
        <c:axId val="1"/>
      </c:barChart>
      <c:catAx>
        <c:axId val="1791912720"/>
        <c:scaling>
          <c:orientation val="minMax"/>
        </c:scaling>
        <c:delete val="0"/>
        <c:axPos val="b"/>
        <c:numFmt formatCode="@" sourceLinked="0"/>
        <c:majorTickMark val="out"/>
        <c:minorTickMark val="none"/>
        <c:tickLblPos val="nextTo"/>
        <c:spPr>
          <a:ln w="0">
            <a:solidFill>
              <a:schemeClr val="tx1"/>
            </a:solidFill>
          </a:ln>
        </c:spPr>
        <c:txPr>
          <a:bodyPr rot="0" vert="horz"/>
          <a:lstStyle/>
          <a:p>
            <a:pPr>
              <a:defRPr sz="1000" b="0" i="0" u="none" strike="noStrike" baseline="0">
                <a:solidFill>
                  <a:srgbClr val="000000"/>
                </a:solidFill>
                <a:latin typeface="Noto Sans"/>
                <a:ea typeface="Noto Sans"/>
                <a:cs typeface="Noto Sans"/>
              </a:defRPr>
            </a:pPr>
            <a:endParaRPr lang="en-US"/>
          </a:p>
        </c:txPr>
        <c:crossAx val="1"/>
        <c:crosses val="autoZero"/>
        <c:auto val="0"/>
        <c:lblAlgn val="ctr"/>
        <c:lblOffset val="100"/>
        <c:noMultiLvlLbl val="0"/>
      </c:catAx>
      <c:valAx>
        <c:axId val="1"/>
        <c:scaling>
          <c:orientation val="minMax"/>
        </c:scaling>
        <c:delete val="0"/>
        <c:axPos val="l"/>
        <c:numFmt formatCode="#,##0" sourceLinked="0"/>
        <c:majorTickMark val="out"/>
        <c:minorTickMark val="none"/>
        <c:tickLblPos val="nextTo"/>
        <c:spPr>
          <a:ln w="6350">
            <a:solidFill>
              <a:schemeClr val="tx1"/>
            </a:solidFill>
          </a:ln>
        </c:spPr>
        <c:txPr>
          <a:bodyPr rot="0" vert="horz"/>
          <a:lstStyle/>
          <a:p>
            <a:pPr>
              <a:defRPr/>
            </a:pPr>
            <a:endParaRPr lang="es-MX"/>
          </a:p>
        </c:txPr>
        <c:crossAx val="1791912720"/>
        <c:crosses val="autoZero"/>
        <c:crossBetween val="between"/>
      </c:valAx>
      <c:spPr>
        <a:noFill/>
        <a:ln w="25400">
          <a:noFill/>
        </a:ln>
      </c:spPr>
    </c:plotArea>
    <c:plotVisOnly val="1"/>
    <c:dispBlanksAs val="gap"/>
    <c:showDLblsOverMax val="0"/>
  </c:chart>
  <c:spPr>
    <a:ln>
      <a:noFill/>
    </a:ln>
  </c:spPr>
  <c:txPr>
    <a:bodyPr/>
    <a:lstStyle/>
    <a:p>
      <a:pPr>
        <a:defRPr sz="1000" b="0" i="0" u="none" strike="noStrike" baseline="0">
          <a:solidFill>
            <a:srgbClr val="000000"/>
          </a:solidFill>
          <a:latin typeface="Montserrat" panose="00000500000000000000" pitchFamily="2" charset="0"/>
          <a:ea typeface="Calibri"/>
          <a:cs typeface="Calibri"/>
        </a:defRPr>
      </a:pPr>
      <a:endParaRPr lang="es-MX"/>
    </a:p>
  </c:tx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466596675415572E-2"/>
          <c:y val="0.14273290232281846"/>
          <c:w val="0.9529975185533619"/>
          <c:h val="0.70561485114676192"/>
        </c:manualLayout>
      </c:layout>
      <c:barChart>
        <c:barDir val="col"/>
        <c:grouping val="clustered"/>
        <c:varyColors val="0"/>
        <c:ser>
          <c:idx val="1"/>
          <c:order val="0"/>
          <c:spPr>
            <a:solidFill>
              <a:srgbClr val="621132"/>
            </a:solidFill>
            <a:ln w="12700" cap="flat" cmpd="sng" algn="ctr">
              <a:noFill/>
              <a:prstDash val="solid"/>
              <a:miter lim="800000"/>
            </a:ln>
            <a:effectLst/>
            <a:scene3d>
              <a:camera prst="orthographicFront"/>
              <a:lightRig rig="threePt" dir="t"/>
            </a:scene3d>
          </c:spPr>
          <c:invertIfNegative val="0"/>
          <c:dLbls>
            <c:spPr>
              <a:noFill/>
              <a:ln w="25400">
                <a:noFill/>
              </a:ln>
            </c:spPr>
            <c:txPr>
              <a:bodyPr wrap="square" lIns="38100" tIns="19050" rIns="38100" bIns="19050" anchor="ctr">
                <a:spAutoFit/>
              </a:bodyPr>
              <a:lstStyle/>
              <a:p>
                <a:pPr>
                  <a:defRPr sz="1000" b="1" i="0" u="none" strike="noStrike" baseline="0">
                    <a:solidFill>
                      <a:srgbClr val="000000"/>
                    </a:solidFill>
                    <a:latin typeface="Noto Sans"/>
                    <a:ea typeface="Noto Sans"/>
                    <a:cs typeface="Noto San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IED_FBKF_Anual!$A$8:$A$34</c:f>
              <c:numCache>
                <c:formatCode>General</c:formatCode>
                <c:ptCount val="27"/>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pt idx="26">
                  <c:v>2025</c:v>
                </c:pt>
              </c:numCache>
            </c:numRef>
          </c:cat>
          <c:val>
            <c:numRef>
              <c:f>IED_FBKF_Anual!$D$8:$D$34</c:f>
              <c:numCache>
                <c:formatCode>#,##0.0</c:formatCode>
                <c:ptCount val="27"/>
                <c:pt idx="0">
                  <c:v>10.564936267759721</c:v>
                </c:pt>
                <c:pt idx="1">
                  <c:v>11.585079700393539</c:v>
                </c:pt>
                <c:pt idx="2">
                  <c:v>19.17568846420032</c:v>
                </c:pt>
                <c:pt idx="3">
                  <c:v>15.380271014626198</c:v>
                </c:pt>
                <c:pt idx="4">
                  <c:v>11.864747928749713</c:v>
                </c:pt>
                <c:pt idx="5">
                  <c:v>14.693014745544028</c:v>
                </c:pt>
                <c:pt idx="6">
                  <c:v>13.553538920167924</c:v>
                </c:pt>
                <c:pt idx="7">
                  <c:v>9.6061841030337867</c:v>
                </c:pt>
                <c:pt idx="8">
                  <c:v>13.139527590583441</c:v>
                </c:pt>
                <c:pt idx="9">
                  <c:v>10.74827345540073</c:v>
                </c:pt>
                <c:pt idx="10">
                  <c:v>8.281437480149263</c:v>
                </c:pt>
                <c:pt idx="11">
                  <c:v>10.895219858086845</c:v>
                </c:pt>
                <c:pt idx="12">
                  <c:v>8.9197911087737953</c:v>
                </c:pt>
                <c:pt idx="13">
                  <c:v>7.3176164336708425</c:v>
                </c:pt>
                <c:pt idx="14">
                  <c:v>16.566985174108101</c:v>
                </c:pt>
                <c:pt idx="15">
                  <c:v>10.28479277636791</c:v>
                </c:pt>
                <c:pt idx="16">
                  <c:v>12.826580323931047</c:v>
                </c:pt>
                <c:pt idx="17">
                  <c:v>11.855839933309531</c:v>
                </c:pt>
                <c:pt idx="18">
                  <c:v>12.272670313794436</c:v>
                </c:pt>
                <c:pt idx="19">
                  <c:v>11.779169253848675</c:v>
                </c:pt>
                <c:pt idx="20">
                  <c:v>12.247429854079341</c:v>
                </c:pt>
                <c:pt idx="21">
                  <c:v>12.410797812354843</c:v>
                </c:pt>
                <c:pt idx="22">
                  <c:v>12.074041427990764</c:v>
                </c:pt>
                <c:pt idx="23">
                  <c:v>11.057670421636736</c:v>
                </c:pt>
                <c:pt idx="24">
                  <c:v>8.7055516554481969</c:v>
                </c:pt>
                <c:pt idx="25">
                  <c:v>8.7136287386989171</c:v>
                </c:pt>
                <c:pt idx="26">
                  <c:v>9.9159608665907353</c:v>
                </c:pt>
              </c:numCache>
            </c:numRef>
          </c:val>
          <c:extLst>
            <c:ext xmlns:c16="http://schemas.microsoft.com/office/drawing/2014/chart" uri="{C3380CC4-5D6E-409C-BE32-E72D297353CC}">
              <c16:uniqueId val="{00000000-E56A-4D43-A165-AE2920561AB5}"/>
            </c:ext>
          </c:extLst>
        </c:ser>
        <c:dLbls>
          <c:showLegendKey val="0"/>
          <c:showVal val="0"/>
          <c:showCatName val="0"/>
          <c:showSerName val="0"/>
          <c:showPercent val="0"/>
          <c:showBubbleSize val="0"/>
        </c:dLbls>
        <c:gapWidth val="90"/>
        <c:axId val="1791909360"/>
        <c:axId val="1"/>
      </c:barChart>
      <c:catAx>
        <c:axId val="1791909360"/>
        <c:scaling>
          <c:orientation val="minMax"/>
        </c:scaling>
        <c:delete val="0"/>
        <c:axPos val="b"/>
        <c:numFmt formatCode="@" sourceLinked="0"/>
        <c:majorTickMark val="out"/>
        <c:minorTickMark val="none"/>
        <c:tickLblPos val="nextTo"/>
        <c:spPr>
          <a:ln w="0">
            <a:solidFill>
              <a:schemeClr val="tx1"/>
            </a:solidFill>
          </a:ln>
        </c:spPr>
        <c:txPr>
          <a:bodyPr rot="0" vert="horz"/>
          <a:lstStyle/>
          <a:p>
            <a:pPr>
              <a:defRPr sz="1000" b="0" i="0" u="none" strike="noStrike" baseline="0">
                <a:solidFill>
                  <a:srgbClr val="000000"/>
                </a:solidFill>
                <a:latin typeface="Noto Sans"/>
                <a:ea typeface="Noto Sans"/>
                <a:cs typeface="Noto Sans"/>
              </a:defRPr>
            </a:pPr>
            <a:endParaRPr lang="en-US"/>
          </a:p>
        </c:txPr>
        <c:crossAx val="1"/>
        <c:crosses val="autoZero"/>
        <c:auto val="1"/>
        <c:lblAlgn val="ctr"/>
        <c:lblOffset val="100"/>
        <c:noMultiLvlLbl val="0"/>
      </c:catAx>
      <c:valAx>
        <c:axId val="1"/>
        <c:scaling>
          <c:orientation val="minMax"/>
        </c:scaling>
        <c:delete val="0"/>
        <c:axPos val="l"/>
        <c:numFmt formatCode="#,##0" sourceLinked="0"/>
        <c:majorTickMark val="out"/>
        <c:minorTickMark val="none"/>
        <c:tickLblPos val="nextTo"/>
        <c:spPr>
          <a:ln w="6350">
            <a:solidFill>
              <a:schemeClr val="tx1"/>
            </a:solidFill>
          </a:ln>
        </c:spPr>
        <c:txPr>
          <a:bodyPr rot="0" vert="horz"/>
          <a:lstStyle/>
          <a:p>
            <a:pPr>
              <a:defRPr sz="1000" b="0" i="0" u="none" strike="noStrike" baseline="0">
                <a:solidFill>
                  <a:srgbClr val="000000"/>
                </a:solidFill>
                <a:latin typeface="Noto Sans"/>
                <a:ea typeface="Noto Sans"/>
                <a:cs typeface="Noto Sans"/>
              </a:defRPr>
            </a:pPr>
            <a:endParaRPr lang="en-US"/>
          </a:p>
        </c:txPr>
        <c:crossAx val="1791909360"/>
        <c:crosses val="autoZero"/>
        <c:crossBetween val="between"/>
      </c:valAx>
      <c:spPr>
        <a:ln w="9525">
          <a:prstDash val="dash"/>
        </a:ln>
      </c:spPr>
    </c:plotArea>
    <c:plotVisOnly val="1"/>
    <c:dispBlanksAs val="gap"/>
    <c:showDLblsOverMax val="0"/>
  </c:chart>
  <c:spPr>
    <a:noFill/>
    <a:ln>
      <a:noFill/>
    </a:ln>
  </c:spPr>
  <c:txPr>
    <a:bodyPr/>
    <a:lstStyle/>
    <a:p>
      <a:pPr>
        <a:defRPr sz="1000" b="0" i="0" u="none" strike="noStrike" baseline="0">
          <a:solidFill>
            <a:srgbClr val="000000"/>
          </a:solidFill>
          <a:latin typeface="Montserrat" panose="00000500000000000000" pitchFamily="2" charset="0"/>
          <a:ea typeface="Calibri"/>
          <a:cs typeface="Calibri"/>
        </a:defRPr>
      </a:pPr>
      <a:endParaRPr lang="es-MX"/>
    </a:p>
  </c:txPr>
  <c:printSettings>
    <c:headerFooter/>
    <c:pageMargins b="0.75" l="0.7" r="0.7" t="0.75" header="0.3" footer="0.3"/>
    <c:pageSetup/>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absolute">
    <xdr:from>
      <xdr:col>5</xdr:col>
      <xdr:colOff>266700</xdr:colOff>
      <xdr:row>6</xdr:row>
      <xdr:rowOff>85725</xdr:rowOff>
    </xdr:from>
    <xdr:to>
      <xdr:col>254</xdr:col>
      <xdr:colOff>628650</xdr:colOff>
      <xdr:row>38</xdr:row>
      <xdr:rowOff>38100</xdr:rowOff>
    </xdr:to>
    <xdr:graphicFrame macro="">
      <xdr:nvGraphicFramePr>
        <xdr:cNvPr id="1067" name="Gráfico 1">
          <a:extLst>
            <a:ext uri="{FF2B5EF4-FFF2-40B4-BE49-F238E27FC236}">
              <a16:creationId xmlns:a16="http://schemas.microsoft.com/office/drawing/2014/main" id="{C2386263-70B8-0284-8EA7-448ED95C21D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190500</xdr:colOff>
      <xdr:row>0</xdr:row>
      <xdr:rowOff>0</xdr:rowOff>
    </xdr:from>
    <xdr:to>
      <xdr:col>22</xdr:col>
      <xdr:colOff>314325</xdr:colOff>
      <xdr:row>2</xdr:row>
      <xdr:rowOff>200025</xdr:rowOff>
    </xdr:to>
    <xdr:pic>
      <xdr:nvPicPr>
        <xdr:cNvPr id="1068" name="Imagen 4">
          <a:extLst>
            <a:ext uri="{FF2B5EF4-FFF2-40B4-BE49-F238E27FC236}">
              <a16:creationId xmlns:a16="http://schemas.microsoft.com/office/drawing/2014/main" id="{04A83A99-89E3-B632-9551-8DDE4F7F23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106775" y="0"/>
          <a:ext cx="31718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21</xdr:col>
      <xdr:colOff>619125</xdr:colOff>
      <xdr:row>0</xdr:row>
      <xdr:rowOff>47625</xdr:rowOff>
    </xdr:from>
    <xdr:to>
      <xdr:col>26</xdr:col>
      <xdr:colOff>19050</xdr:colOff>
      <xdr:row>2</xdr:row>
      <xdr:rowOff>209550</xdr:rowOff>
    </xdr:to>
    <xdr:pic>
      <xdr:nvPicPr>
        <xdr:cNvPr id="1069" name="Imagen 5">
          <a:extLst>
            <a:ext uri="{FF2B5EF4-FFF2-40B4-BE49-F238E27FC236}">
              <a16:creationId xmlns:a16="http://schemas.microsoft.com/office/drawing/2014/main" id="{6D626BDF-F7D7-AC92-AF82-073C9F3A0BB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821400" y="47625"/>
          <a:ext cx="32099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c:userShapes xmlns:c="http://schemas.openxmlformats.org/drawingml/2006/chart">
  <cdr:relSizeAnchor xmlns:cdr="http://schemas.openxmlformats.org/drawingml/2006/chartDrawing">
    <cdr:from>
      <cdr:x>0.00104</cdr:x>
      <cdr:y>0.09183</cdr:y>
    </cdr:from>
    <cdr:to>
      <cdr:x>0.9813</cdr:x>
      <cdr:y>0.21715</cdr:y>
    </cdr:to>
    <cdr:sp macro="" textlink="">
      <cdr:nvSpPr>
        <cdr:cNvPr id="2" name="1 CuadroTexto"/>
        <cdr:cNvSpPr txBox="1"/>
      </cdr:nvSpPr>
      <cdr:spPr>
        <a:xfrm xmlns:a="http://schemas.openxmlformats.org/drawingml/2006/main">
          <a:off x="15685" y="655178"/>
          <a:ext cx="14840457" cy="95139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MX" sz="1800" b="1">
              <a:latin typeface="Noto Sans" panose="020B0502040504020204" pitchFamily="34" charset="0"/>
              <a:ea typeface="Noto Sans" panose="020B0502040504020204" pitchFamily="34" charset="0"/>
              <a:cs typeface="Noto Sans" panose="020B0502040504020204" pitchFamily="34" charset="0"/>
            </a:rPr>
            <a:t>IED COMO PORCENTAJE DE</a:t>
          </a:r>
          <a:r>
            <a:rPr lang="es-MX" sz="1800" b="1" baseline="0">
              <a:latin typeface="Noto Sans" panose="020B0502040504020204" pitchFamily="34" charset="0"/>
              <a:ea typeface="Noto Sans" panose="020B0502040504020204" pitchFamily="34" charset="0"/>
              <a:cs typeface="Noto Sans" panose="020B0502040504020204" pitchFamily="34" charset="0"/>
            </a:rPr>
            <a:t> LA FBKF TRIMESTRAL</a:t>
          </a:r>
          <a:r>
            <a:rPr lang="es-MX" sz="1800" b="1">
              <a:latin typeface="Noto Sans" panose="020B0502040504020204" pitchFamily="34" charset="0"/>
              <a:ea typeface="Noto Sans" panose="020B0502040504020204" pitchFamily="34" charset="0"/>
              <a:cs typeface="Noto Sans" panose="020B0502040504020204" pitchFamily="34" charset="0"/>
            </a:rPr>
            <a:t>, 1999 - 2025</a:t>
          </a:r>
        </a:p>
        <a:p xmlns:a="http://schemas.openxmlformats.org/drawingml/2006/main">
          <a:pPr algn="ctr"/>
          <a:br>
            <a:rPr lang="es-MX" sz="1800">
              <a:latin typeface="Noto Sans" panose="020B0502040504020204" pitchFamily="34" charset="0"/>
              <a:ea typeface="Noto Sans" panose="020B0502040504020204" pitchFamily="34" charset="0"/>
              <a:cs typeface="Noto Sans" panose="020B0502040504020204" pitchFamily="34" charset="0"/>
            </a:rPr>
          </a:br>
          <a:endParaRPr lang="es-MX" sz="1800">
            <a:latin typeface="Noto Sans" panose="020B0502040504020204" pitchFamily="34" charset="0"/>
            <a:ea typeface="Noto Sans" panose="020B0502040504020204" pitchFamily="34" charset="0"/>
            <a:cs typeface="Noto Sans" panose="020B0502040504020204" pitchFamily="34" charset="0"/>
          </a:endParaRPr>
        </a:p>
      </cdr:txBody>
    </cdr:sp>
  </cdr:relSizeAnchor>
  <cdr:relSizeAnchor xmlns:cdr="http://schemas.openxmlformats.org/drawingml/2006/chartDrawing">
    <cdr:from>
      <cdr:x>0.01211</cdr:x>
      <cdr:y>0.94511</cdr:y>
    </cdr:from>
    <cdr:to>
      <cdr:x>0.47026</cdr:x>
      <cdr:y>0.98686</cdr:y>
    </cdr:to>
    <cdr:sp macro="" textlink="">
      <cdr:nvSpPr>
        <cdr:cNvPr id="3" name="CuadroTexto 2"/>
        <cdr:cNvSpPr txBox="1"/>
      </cdr:nvSpPr>
      <cdr:spPr>
        <a:xfrm xmlns:a="http://schemas.openxmlformats.org/drawingml/2006/main">
          <a:off x="149679" y="6994071"/>
          <a:ext cx="5660571" cy="29935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MX" sz="1000">
              <a:latin typeface="Noto Sans" panose="020B0502040504020204" pitchFamily="34" charset="0"/>
              <a:ea typeface="Noto Sans" panose="020B0502040504020204" pitchFamily="34" charset="0"/>
              <a:cs typeface="Noto Sans" panose="020B0502040504020204" pitchFamily="34" charset="0"/>
            </a:rPr>
            <a:t>Fuente: Secretaría de Economía, INEGI y Banco de México.</a:t>
          </a:r>
        </a:p>
      </cdr:txBody>
    </cdr:sp>
  </cdr:relSizeAnchor>
</c:userShapes>
</file>

<file path=xl/drawings/drawing3.xml><?xml version="1.0" encoding="utf-8"?>
<xdr:wsDr xmlns:xdr="http://schemas.openxmlformats.org/drawingml/2006/spreadsheetDrawing" xmlns:a="http://schemas.openxmlformats.org/drawingml/2006/main">
  <xdr:twoCellAnchor editAs="absolute">
    <xdr:from>
      <xdr:col>5</xdr:col>
      <xdr:colOff>409575</xdr:colOff>
      <xdr:row>6</xdr:row>
      <xdr:rowOff>85725</xdr:rowOff>
    </xdr:from>
    <xdr:to>
      <xdr:col>20</xdr:col>
      <xdr:colOff>142875</xdr:colOff>
      <xdr:row>22</xdr:row>
      <xdr:rowOff>219075</xdr:rowOff>
    </xdr:to>
    <xdr:graphicFrame macro="">
      <xdr:nvGraphicFramePr>
        <xdr:cNvPr id="2091" name="Gráfico 2">
          <a:extLst>
            <a:ext uri="{FF2B5EF4-FFF2-40B4-BE49-F238E27FC236}">
              <a16:creationId xmlns:a16="http://schemas.microsoft.com/office/drawing/2014/main" id="{6FCE8DFD-ECBD-425B-AE63-A5F4F03EA66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666750</xdr:colOff>
      <xdr:row>0</xdr:row>
      <xdr:rowOff>0</xdr:rowOff>
    </xdr:from>
    <xdr:to>
      <xdr:col>16</xdr:col>
      <xdr:colOff>638175</xdr:colOff>
      <xdr:row>2</xdr:row>
      <xdr:rowOff>228600</xdr:rowOff>
    </xdr:to>
    <xdr:pic>
      <xdr:nvPicPr>
        <xdr:cNvPr id="2092" name="Imagen 4">
          <a:extLst>
            <a:ext uri="{FF2B5EF4-FFF2-40B4-BE49-F238E27FC236}">
              <a16:creationId xmlns:a16="http://schemas.microsoft.com/office/drawing/2014/main" id="{C5627126-FD01-6DC8-2D03-F7D7EDCA93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096625" y="0"/>
          <a:ext cx="3019425"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114300</xdr:colOff>
      <xdr:row>0</xdr:row>
      <xdr:rowOff>28575</xdr:rowOff>
    </xdr:from>
    <xdr:to>
      <xdr:col>20</xdr:col>
      <xdr:colOff>695325</xdr:colOff>
      <xdr:row>2</xdr:row>
      <xdr:rowOff>219075</xdr:rowOff>
    </xdr:to>
    <xdr:pic>
      <xdr:nvPicPr>
        <xdr:cNvPr id="2093" name="Imagen 5">
          <a:extLst>
            <a:ext uri="{FF2B5EF4-FFF2-40B4-BE49-F238E27FC236}">
              <a16:creationId xmlns:a16="http://schemas.microsoft.com/office/drawing/2014/main" id="{71CB52F9-F222-633E-9070-C79C80E3BCB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592175" y="28575"/>
          <a:ext cx="3181350"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c:userShapes xmlns:c="http://schemas.openxmlformats.org/drawingml/2006/chart">
  <cdr:relSizeAnchor xmlns:cdr="http://schemas.openxmlformats.org/drawingml/2006/chartDrawing">
    <cdr:from>
      <cdr:x>0.00528</cdr:x>
      <cdr:y>0.0256</cdr:y>
    </cdr:from>
    <cdr:to>
      <cdr:x>1</cdr:x>
      <cdr:y>0.15288</cdr:y>
    </cdr:to>
    <cdr:sp macro="" textlink="">
      <cdr:nvSpPr>
        <cdr:cNvPr id="2" name="1 CuadroTexto"/>
        <cdr:cNvSpPr txBox="1"/>
      </cdr:nvSpPr>
      <cdr:spPr>
        <a:xfrm xmlns:a="http://schemas.openxmlformats.org/drawingml/2006/main">
          <a:off x="50651" y="99727"/>
          <a:ext cx="9542384" cy="493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MX" sz="1300" b="1">
              <a:latin typeface="Noto Sans" panose="020B0502040504020204" pitchFamily="34" charset="0"/>
              <a:ea typeface="Noto Sans" panose="020B0502040504020204" pitchFamily="34" charset="0"/>
              <a:cs typeface="Noto Sans" panose="020B0502040504020204" pitchFamily="34" charset="0"/>
            </a:rPr>
            <a:t>IED PORCENTAJE DE</a:t>
          </a:r>
          <a:r>
            <a:rPr lang="es-MX" sz="1300" b="1" baseline="0">
              <a:latin typeface="Noto Sans" panose="020B0502040504020204" pitchFamily="34" charset="0"/>
              <a:ea typeface="Noto Sans" panose="020B0502040504020204" pitchFamily="34" charset="0"/>
              <a:cs typeface="Noto Sans" panose="020B0502040504020204" pitchFamily="34" charset="0"/>
            </a:rPr>
            <a:t> LA FBKF ANUAL</a:t>
          </a:r>
          <a:r>
            <a:rPr lang="es-MX" sz="1300" b="1">
              <a:latin typeface="Noto Sans" panose="020B0502040504020204" pitchFamily="34" charset="0"/>
              <a:ea typeface="Noto Sans" panose="020B0502040504020204" pitchFamily="34" charset="0"/>
              <a:cs typeface="Noto Sans" panose="020B0502040504020204" pitchFamily="34" charset="0"/>
            </a:rPr>
            <a:t>, 1999 - 2025</a:t>
          </a:r>
          <a:br>
            <a:rPr lang="es-MX" sz="1400">
              <a:latin typeface="Noto Sans" panose="020B0502040504020204" pitchFamily="34" charset="0"/>
              <a:ea typeface="Noto Sans" panose="020B0502040504020204" pitchFamily="34" charset="0"/>
              <a:cs typeface="Noto Sans" panose="020B0502040504020204" pitchFamily="34" charset="0"/>
            </a:rPr>
          </a:br>
          <a:endParaRPr lang="es-MX" sz="1400">
            <a:latin typeface="Noto Sans" panose="020B0502040504020204" pitchFamily="34" charset="0"/>
            <a:ea typeface="Noto Sans" panose="020B0502040504020204" pitchFamily="34" charset="0"/>
            <a:cs typeface="Noto Sans" panose="020B0502040504020204" pitchFamily="34" charset="0"/>
          </a:endParaRPr>
        </a:p>
      </cdr:txBody>
    </cdr:sp>
  </cdr:relSizeAnchor>
  <cdr:relSizeAnchor xmlns:cdr="http://schemas.openxmlformats.org/drawingml/2006/chartDrawing">
    <cdr:from>
      <cdr:x>0.006</cdr:x>
      <cdr:y>0.93421</cdr:y>
    </cdr:from>
    <cdr:to>
      <cdr:x>0.006</cdr:x>
      <cdr:y>0.93445</cdr:y>
    </cdr:to>
    <cdr:sp macro="" textlink="">
      <cdr:nvSpPr>
        <cdr:cNvPr id="3" name="CuadroTexto 2"/>
        <cdr:cNvSpPr txBox="1"/>
      </cdr:nvSpPr>
      <cdr:spPr>
        <a:xfrm xmlns:a="http://schemas.openxmlformats.org/drawingml/2006/main">
          <a:off x="102565" y="3627181"/>
          <a:ext cx="4395049" cy="30528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MX" sz="1000">
              <a:latin typeface="Noto Sans" panose="020B0502040504020204" pitchFamily="34" charset="0"/>
              <a:ea typeface="Noto Sans" panose="020B0502040504020204" pitchFamily="34" charset="0"/>
              <a:cs typeface="Noto Sans" panose="020B0502040504020204" pitchFamily="34" charset="0"/>
            </a:rPr>
            <a:t>Fuente: Secretaría de Economía, INEGI y Banco de México.</a:t>
          </a:r>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0</xdr:col>
      <xdr:colOff>104775</xdr:colOff>
      <xdr:row>1</xdr:row>
      <xdr:rowOff>9525</xdr:rowOff>
    </xdr:from>
    <xdr:to>
      <xdr:col>8</xdr:col>
      <xdr:colOff>428625</xdr:colOff>
      <xdr:row>62</xdr:row>
      <xdr:rowOff>142875</xdr:rowOff>
    </xdr:to>
    <xdr:pic>
      <xdr:nvPicPr>
        <xdr:cNvPr id="3100" name="Imagen 2">
          <a:extLst>
            <a:ext uri="{FF2B5EF4-FFF2-40B4-BE49-F238E27FC236}">
              <a16:creationId xmlns:a16="http://schemas.microsoft.com/office/drawing/2014/main" id="{BBB73B9C-867D-256A-2DFB-FE37B645C0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775" y="161925"/>
          <a:ext cx="6419850" cy="942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281AB-5041-4EB0-B6C7-6726F0FA4DA1}">
  <dimension ref="A1:IT121"/>
  <sheetViews>
    <sheetView tabSelected="1" zoomScale="80" zoomScaleNormal="80" workbookViewId="0">
      <selection activeCell="E46" sqref="E46"/>
    </sheetView>
  </sheetViews>
  <sheetFormatPr defaultColWidth="5.42578125" defaultRowHeight="18"/>
  <cols>
    <col min="1" max="1" width="10" style="2" customWidth="1"/>
    <col min="2" max="2" width="14.5703125" style="2" customWidth="1"/>
    <col min="3" max="3" width="25.5703125" style="2" customWidth="1"/>
    <col min="4" max="4" width="14.7109375" style="2" bestFit="1" customWidth="1"/>
    <col min="5" max="5" width="16.5703125" style="2" customWidth="1"/>
    <col min="6" max="6" width="20.140625" style="3" customWidth="1"/>
    <col min="7" max="26" width="11.42578125" style="3" customWidth="1"/>
    <col min="27" max="27" width="12" style="3" customWidth="1"/>
    <col min="28" max="254" width="11.42578125" style="3" hidden="1" customWidth="1"/>
    <col min="255" max="255" width="11.42578125" style="3" customWidth="1"/>
    <col min="256" max="16384" width="5.42578125" style="3"/>
  </cols>
  <sheetData>
    <row r="1" spans="1:5" s="62" customFormat="1" ht="18.75" customHeight="1">
      <c r="A1" s="62" t="s">
        <v>0</v>
      </c>
    </row>
    <row r="2" spans="1:5" s="62" customFormat="1" ht="18.75" customHeight="1"/>
    <row r="3" spans="1:5" s="62" customFormat="1" ht="18.75" customHeight="1"/>
    <row r="5" spans="1:5">
      <c r="A5" s="1"/>
    </row>
    <row r="6" spans="1:5" s="5" customFormat="1" ht="19.5" customHeight="1">
      <c r="A6" s="65" t="s">
        <v>1</v>
      </c>
      <c r="B6" s="65" t="s">
        <v>2</v>
      </c>
      <c r="C6" s="4" t="s">
        <v>3</v>
      </c>
      <c r="D6" s="4" t="s">
        <v>4</v>
      </c>
      <c r="E6" s="4" t="s">
        <v>5</v>
      </c>
    </row>
    <row r="7" spans="1:5" s="5" customFormat="1" ht="19.5" customHeight="1">
      <c r="A7" s="66"/>
      <c r="B7" s="66"/>
      <c r="C7" s="63" t="s">
        <v>6</v>
      </c>
      <c r="D7" s="64"/>
      <c r="E7" s="4" t="s">
        <v>7</v>
      </c>
    </row>
    <row r="8" spans="1:5">
      <c r="A8" s="68">
        <v>1999</v>
      </c>
      <c r="B8" s="6" t="s">
        <v>8</v>
      </c>
      <c r="C8" s="7">
        <v>3596.0751519900109</v>
      </c>
      <c r="D8" s="7">
        <v>30353.860076325429</v>
      </c>
      <c r="E8" s="8">
        <v>11.847175756057394</v>
      </c>
    </row>
    <row r="9" spans="1:5">
      <c r="A9" s="68"/>
      <c r="B9" s="9" t="s">
        <v>9</v>
      </c>
      <c r="C9" s="10">
        <v>3395.8904113800213</v>
      </c>
      <c r="D9" s="10">
        <v>30577.440511779689</v>
      </c>
      <c r="E9" s="11">
        <v>11.105868753376479</v>
      </c>
    </row>
    <row r="10" spans="1:5">
      <c r="A10" s="68"/>
      <c r="B10" s="9" t="s">
        <v>10</v>
      </c>
      <c r="C10" s="10">
        <v>3028.4476429900201</v>
      </c>
      <c r="D10" s="10">
        <v>34398.539816019082</v>
      </c>
      <c r="E10" s="11">
        <v>8.8040005744072314</v>
      </c>
    </row>
    <row r="11" spans="1:5">
      <c r="A11" s="68"/>
      <c r="B11" s="12" t="s">
        <v>11</v>
      </c>
      <c r="C11" s="13">
        <v>3939.9046280600205</v>
      </c>
      <c r="D11" s="13">
        <v>36808.371134565336</v>
      </c>
      <c r="E11" s="14">
        <v>10.703827707171227</v>
      </c>
    </row>
    <row r="12" spans="1:5">
      <c r="A12" s="68">
        <v>2000</v>
      </c>
      <c r="B12" s="6" t="s">
        <v>8</v>
      </c>
      <c r="C12" s="7">
        <v>4600.6358357300305</v>
      </c>
      <c r="D12" s="7">
        <v>37141.70797822703</v>
      </c>
      <c r="E12" s="15">
        <v>12.38671048306929</v>
      </c>
    </row>
    <row r="13" spans="1:5">
      <c r="A13" s="68"/>
      <c r="B13" s="9" t="s">
        <v>9</v>
      </c>
      <c r="C13" s="10">
        <v>4857.4234801700522</v>
      </c>
      <c r="D13" s="10">
        <v>36482.388907650849</v>
      </c>
      <c r="E13" s="16">
        <v>13.314433691460881</v>
      </c>
    </row>
    <row r="14" spans="1:5">
      <c r="A14" s="68"/>
      <c r="B14" s="9" t="s">
        <v>10</v>
      </c>
      <c r="C14" s="10">
        <v>3056.9462686500078</v>
      </c>
      <c r="D14" s="10">
        <v>41789.468832014951</v>
      </c>
      <c r="E14" s="16">
        <v>7.3151115677930756</v>
      </c>
    </row>
    <row r="15" spans="1:5">
      <c r="A15" s="68"/>
      <c r="B15" s="12" t="s">
        <v>11</v>
      </c>
      <c r="C15" s="13">
        <v>5733.6828056599834</v>
      </c>
      <c r="D15" s="13">
        <v>42105.319452920237</v>
      </c>
      <c r="E15" s="17">
        <v>13.617478456780407</v>
      </c>
    </row>
    <row r="16" spans="1:5">
      <c r="A16" s="68">
        <v>2001</v>
      </c>
      <c r="B16" s="6" t="s">
        <v>8</v>
      </c>
      <c r="C16" s="7">
        <v>3598.677000336937</v>
      </c>
      <c r="D16" s="7">
        <v>37780.81897935005</v>
      </c>
      <c r="E16" s="15">
        <v>9.5251429099614668</v>
      </c>
    </row>
    <row r="17" spans="1:5">
      <c r="A17" s="68"/>
      <c r="B17" s="9" t="s">
        <v>9</v>
      </c>
      <c r="C17" s="10">
        <v>5218.8302660300069</v>
      </c>
      <c r="D17" s="10">
        <v>37006.823512407114</v>
      </c>
      <c r="E17" s="16">
        <v>14.102345920828121</v>
      </c>
    </row>
    <row r="18" spans="1:5">
      <c r="A18" s="68"/>
      <c r="B18" s="9" t="s">
        <v>10</v>
      </c>
      <c r="C18" s="10">
        <v>16314.0481983101</v>
      </c>
      <c r="D18" s="10">
        <v>40759.115607212923</v>
      </c>
      <c r="E18" s="16">
        <v>40.025520562136755</v>
      </c>
    </row>
    <row r="19" spans="1:5">
      <c r="A19" s="68"/>
      <c r="B19" s="12" t="s">
        <v>11</v>
      </c>
      <c r="C19" s="13">
        <v>4925.625658099998</v>
      </c>
      <c r="D19" s="13">
        <v>41199.536454634916</v>
      </c>
      <c r="E19" s="17">
        <v>11.955536595717859</v>
      </c>
    </row>
    <row r="20" spans="1:5">
      <c r="A20" s="68">
        <v>2002</v>
      </c>
      <c r="B20" s="6" t="s">
        <v>8</v>
      </c>
      <c r="C20" s="7">
        <v>5067.9842793500102</v>
      </c>
      <c r="D20" s="7">
        <v>37749.185267724293</v>
      </c>
      <c r="E20" s="15">
        <v>13.42541367027372</v>
      </c>
    </row>
    <row r="21" spans="1:5">
      <c r="A21" s="68"/>
      <c r="B21" s="9" t="s">
        <v>9</v>
      </c>
      <c r="C21" s="10">
        <v>6258.5196879300302</v>
      </c>
      <c r="D21" s="10">
        <v>37909.040377959376</v>
      </c>
      <c r="E21" s="16">
        <v>16.509306554667589</v>
      </c>
    </row>
    <row r="22" spans="1:5">
      <c r="A22" s="68"/>
      <c r="B22" s="9" t="s">
        <v>10</v>
      </c>
      <c r="C22" s="10">
        <v>6114.3371770600306</v>
      </c>
      <c r="D22" s="10">
        <v>39791.320922387116</v>
      </c>
      <c r="E22" s="16">
        <v>15.366007047079517</v>
      </c>
    </row>
    <row r="23" spans="1:5">
      <c r="A23" s="68"/>
      <c r="B23" s="12" t="s">
        <v>11</v>
      </c>
      <c r="C23" s="13">
        <v>6658.3650667900283</v>
      </c>
      <c r="D23" s="13">
        <v>41239.540303106463</v>
      </c>
      <c r="E23" s="17">
        <v>16.1455850813363</v>
      </c>
    </row>
    <row r="24" spans="1:5">
      <c r="A24" s="68">
        <v>2003</v>
      </c>
      <c r="B24" s="6" t="s">
        <v>8</v>
      </c>
      <c r="C24" s="7">
        <v>3963.6853646000272</v>
      </c>
      <c r="D24" s="7">
        <v>37511.674662589452</v>
      </c>
      <c r="E24" s="15">
        <v>10.566538018503948</v>
      </c>
    </row>
    <row r="25" spans="1:5">
      <c r="A25" s="68"/>
      <c r="B25" s="9" t="s">
        <v>9</v>
      </c>
      <c r="C25" s="10">
        <v>5547.3362112600416</v>
      </c>
      <c r="D25" s="10">
        <v>37670.631858605455</v>
      </c>
      <c r="E25" s="16">
        <v>14.72589106570245</v>
      </c>
    </row>
    <row r="26" spans="1:5">
      <c r="A26" s="68"/>
      <c r="B26" s="9" t="s">
        <v>10</v>
      </c>
      <c r="C26" s="10">
        <v>2521.6765765800192</v>
      </c>
      <c r="D26" s="10">
        <v>38960.1726624125</v>
      </c>
      <c r="E26" s="16">
        <v>6.4724471280715097</v>
      </c>
    </row>
    <row r="27" spans="1:5">
      <c r="A27" s="68"/>
      <c r="B27" s="12" t="s">
        <v>11</v>
      </c>
      <c r="C27" s="13">
        <v>6217.2706238600022</v>
      </c>
      <c r="D27" s="13">
        <v>39674.263370848996</v>
      </c>
      <c r="E27" s="17">
        <v>15.67079032002443</v>
      </c>
    </row>
    <row r="28" spans="1:5">
      <c r="A28" s="68">
        <v>2004</v>
      </c>
      <c r="B28" s="6" t="s">
        <v>8</v>
      </c>
      <c r="C28" s="7">
        <v>9363.4579323199778</v>
      </c>
      <c r="D28" s="7">
        <v>40654.487423635866</v>
      </c>
      <c r="E28" s="15">
        <v>23.031794337360687</v>
      </c>
    </row>
    <row r="29" spans="1:5">
      <c r="A29" s="68"/>
      <c r="B29" s="9" t="s">
        <v>9</v>
      </c>
      <c r="C29" s="10">
        <v>4351.4961818657594</v>
      </c>
      <c r="D29" s="10">
        <v>40893.035448354822</v>
      </c>
      <c r="E29" s="16">
        <v>10.641166971724095</v>
      </c>
    </row>
    <row r="30" spans="1:5">
      <c r="A30" s="68"/>
      <c r="B30" s="9" t="s">
        <v>10</v>
      </c>
      <c r="C30" s="10">
        <v>3284.9130503884412</v>
      </c>
      <c r="D30" s="10">
        <v>42395.330300593298</v>
      </c>
      <c r="E30" s="16">
        <v>7.748289792997487</v>
      </c>
    </row>
    <row r="31" spans="1:5">
      <c r="A31" s="68"/>
      <c r="B31" s="12" t="s">
        <v>11</v>
      </c>
      <c r="C31" s="13">
        <v>8015.7027005200134</v>
      </c>
      <c r="D31" s="13">
        <v>46311.994442543903</v>
      </c>
      <c r="E31" s="17">
        <v>17.308049020571858</v>
      </c>
    </row>
    <row r="32" spans="1:5">
      <c r="A32" s="68">
        <v>2005</v>
      </c>
      <c r="B32" s="6" t="s">
        <v>8</v>
      </c>
      <c r="C32" s="7">
        <v>6761.6208839399878</v>
      </c>
      <c r="D32" s="7">
        <v>43722.512473169671</v>
      </c>
      <c r="E32" s="15">
        <v>15.464849802694339</v>
      </c>
    </row>
    <row r="33" spans="1:5">
      <c r="A33" s="68"/>
      <c r="B33" s="9" t="s">
        <v>9</v>
      </c>
      <c r="C33" s="10">
        <v>6773.6153674899961</v>
      </c>
      <c r="D33" s="10">
        <v>45654.825686754433</v>
      </c>
      <c r="E33" s="16">
        <v>14.836581381264994</v>
      </c>
    </row>
    <row r="34" spans="1:5">
      <c r="A34" s="68"/>
      <c r="B34" s="9" t="s">
        <v>10</v>
      </c>
      <c r="C34" s="10">
        <v>5478.9247877962507</v>
      </c>
      <c r="D34" s="10">
        <v>47680.99871424173</v>
      </c>
      <c r="E34" s="16">
        <v>11.490792843145215</v>
      </c>
    </row>
    <row r="35" spans="1:5">
      <c r="A35" s="68"/>
      <c r="B35" s="12" t="s">
        <v>11</v>
      </c>
      <c r="C35" s="13">
        <v>6781.6637614100327</v>
      </c>
      <c r="D35" s="13">
        <v>53267.045688845938</v>
      </c>
      <c r="E35" s="16">
        <v>12.731443378753227</v>
      </c>
    </row>
    <row r="36" spans="1:5">
      <c r="A36" s="67">
        <v>2006</v>
      </c>
      <c r="B36" s="18" t="s">
        <v>8</v>
      </c>
      <c r="C36" s="19">
        <v>7437.8564357716077</v>
      </c>
      <c r="D36" s="32">
        <v>51743.514005268044</v>
      </c>
      <c r="E36" s="20">
        <f>C36/D36*100</f>
        <v>14.374471040011613</v>
      </c>
    </row>
    <row r="37" spans="1:5">
      <c r="A37" s="67"/>
      <c r="B37" s="21" t="s">
        <v>9</v>
      </c>
      <c r="C37" s="22">
        <v>6634.3109912895179</v>
      </c>
      <c r="D37" s="34">
        <v>52322.766805615618</v>
      </c>
      <c r="E37" s="23">
        <f t="shared" ref="E37:E100" si="0">C37/D37*100</f>
        <v>12.679587484233497</v>
      </c>
    </row>
    <row r="38" spans="1:5">
      <c r="A38" s="67"/>
      <c r="B38" s="21" t="s">
        <v>10</v>
      </c>
      <c r="C38" s="22">
        <v>2346.7229354590299</v>
      </c>
      <c r="D38" s="34">
        <v>56683.457228509142</v>
      </c>
      <c r="E38" s="23">
        <f t="shared" si="0"/>
        <v>4.1400490552272409</v>
      </c>
    </row>
    <row r="39" spans="1:5">
      <c r="A39" s="67"/>
      <c r="B39" s="24" t="s">
        <v>11</v>
      </c>
      <c r="C39" s="25">
        <v>4817.9585849310697</v>
      </c>
      <c r="D39" s="36">
        <v>60325.027129268565</v>
      </c>
      <c r="E39" s="26">
        <f t="shared" si="0"/>
        <v>7.986666254798064</v>
      </c>
    </row>
    <row r="40" spans="1:5">
      <c r="A40" s="67">
        <v>2007</v>
      </c>
      <c r="B40" s="18" t="s">
        <v>8</v>
      </c>
      <c r="C40" s="19">
        <v>10815.781410870057</v>
      </c>
      <c r="D40" s="32">
        <v>55913.02844090337</v>
      </c>
      <c r="E40" s="20">
        <f t="shared" si="0"/>
        <v>19.343937741275582</v>
      </c>
    </row>
    <row r="41" spans="1:5">
      <c r="A41" s="67"/>
      <c r="B41" s="21" t="s">
        <v>9</v>
      </c>
      <c r="C41" s="22">
        <v>6137.6383039077155</v>
      </c>
      <c r="D41" s="34">
        <v>57950.011307119115</v>
      </c>
      <c r="E41" s="23">
        <f t="shared" si="0"/>
        <v>10.591263341399403</v>
      </c>
    </row>
    <row r="42" spans="1:5">
      <c r="A42" s="67"/>
      <c r="B42" s="21" t="s">
        <v>10</v>
      </c>
      <c r="C42" s="22">
        <v>7628.6535878138066</v>
      </c>
      <c r="D42" s="34">
        <v>63052.833783612856</v>
      </c>
      <c r="E42" s="23">
        <f t="shared" si="0"/>
        <v>12.098827491233962</v>
      </c>
    </row>
    <row r="43" spans="1:5">
      <c r="A43" s="67"/>
      <c r="B43" s="24" t="s">
        <v>11</v>
      </c>
      <c r="C43" s="25">
        <v>7811.9645158699423</v>
      </c>
      <c r="D43" s="36">
        <v>69622.958212034006</v>
      </c>
      <c r="E43" s="26">
        <f t="shared" si="0"/>
        <v>11.220385798717297</v>
      </c>
    </row>
    <row r="44" spans="1:5">
      <c r="A44" s="67">
        <v>2008</v>
      </c>
      <c r="B44" s="18" t="s">
        <v>8</v>
      </c>
      <c r="C44" s="19">
        <v>8554.8315152352734</v>
      </c>
      <c r="D44" s="32">
        <v>64522.931329985688</v>
      </c>
      <c r="E44" s="20">
        <f t="shared" si="0"/>
        <v>13.258590920929834</v>
      </c>
    </row>
    <row r="45" spans="1:5">
      <c r="A45" s="67"/>
      <c r="B45" s="21" t="s">
        <v>9</v>
      </c>
      <c r="C45" s="22">
        <v>8376.7569183731575</v>
      </c>
      <c r="D45" s="34">
        <v>72603.027156713521</v>
      </c>
      <c r="E45" s="23">
        <f t="shared" si="0"/>
        <v>11.537751587536345</v>
      </c>
    </row>
    <row r="46" spans="1:5">
      <c r="A46" s="67"/>
      <c r="B46" s="21" t="s">
        <v>10</v>
      </c>
      <c r="C46" s="22">
        <v>5644.1373640638449</v>
      </c>
      <c r="D46" s="34">
        <v>74378.916891158588</v>
      </c>
      <c r="E46" s="23">
        <f t="shared" si="0"/>
        <v>7.5883564859153836</v>
      </c>
    </row>
    <row r="47" spans="1:5">
      <c r="A47" s="67"/>
      <c r="B47" s="24" t="s">
        <v>11</v>
      </c>
      <c r="C47" s="25">
        <v>6945.6932731704892</v>
      </c>
      <c r="D47" s="36">
        <v>63157.089572513047</v>
      </c>
      <c r="E47" s="26">
        <f t="shared" si="0"/>
        <v>10.997487883281694</v>
      </c>
    </row>
    <row r="48" spans="1:5">
      <c r="A48" s="67">
        <v>2009</v>
      </c>
      <c r="B48" s="18" t="s">
        <v>8</v>
      </c>
      <c r="C48" s="19">
        <v>6105.2954136300341</v>
      </c>
      <c r="D48" s="32">
        <v>48156.517798316541</v>
      </c>
      <c r="E48" s="20">
        <f t="shared" si="0"/>
        <v>12.678025099737306</v>
      </c>
    </row>
    <row r="49" spans="1:5">
      <c r="A49" s="67"/>
      <c r="B49" s="21" t="s">
        <v>9</v>
      </c>
      <c r="C49" s="22">
        <v>6094.493354614352</v>
      </c>
      <c r="D49" s="34">
        <v>51932.244157785652</v>
      </c>
      <c r="E49" s="23">
        <f t="shared" si="0"/>
        <v>11.735470810961804</v>
      </c>
    </row>
    <row r="50" spans="1:5">
      <c r="A50" s="67"/>
      <c r="B50" s="21" t="s">
        <v>10</v>
      </c>
      <c r="C50" s="22">
        <v>2398.0365921942885</v>
      </c>
      <c r="D50" s="34">
        <v>54667.285992233519</v>
      </c>
      <c r="E50" s="23">
        <f t="shared" si="0"/>
        <v>4.386602606419812</v>
      </c>
    </row>
    <row r="51" spans="1:5">
      <c r="A51" s="67"/>
      <c r="B51" s="24" t="s">
        <v>11</v>
      </c>
      <c r="C51" s="25">
        <v>3253.4346149189305</v>
      </c>
      <c r="D51" s="36">
        <v>60801.456629189139</v>
      </c>
      <c r="E51" s="26">
        <f t="shared" si="0"/>
        <v>5.3509155788169789</v>
      </c>
    </row>
    <row r="52" spans="1:5">
      <c r="A52" s="67">
        <v>2010</v>
      </c>
      <c r="B52" s="18" t="s">
        <v>8</v>
      </c>
      <c r="C52" s="19">
        <v>8722.7916987426652</v>
      </c>
      <c r="D52" s="32">
        <v>57477.368983390559</v>
      </c>
      <c r="E52" s="20">
        <f t="shared" si="0"/>
        <v>15.176045551534067</v>
      </c>
    </row>
    <row r="53" spans="1:5">
      <c r="A53" s="67"/>
      <c r="B53" s="21" t="s">
        <v>9</v>
      </c>
      <c r="C53" s="22">
        <v>9301.6213772700157</v>
      </c>
      <c r="D53" s="34">
        <v>60632.117108040176</v>
      </c>
      <c r="E53" s="23">
        <f t="shared" si="0"/>
        <v>15.341079647104333</v>
      </c>
    </row>
    <row r="54" spans="1:5">
      <c r="A54" s="67"/>
      <c r="B54" s="21" t="s">
        <v>10</v>
      </c>
      <c r="C54" s="22">
        <v>3942.0841229426032</v>
      </c>
      <c r="D54" s="34">
        <v>61023.182625601781</v>
      </c>
      <c r="E54" s="23">
        <f t="shared" si="0"/>
        <v>6.4599779187667838</v>
      </c>
    </row>
    <row r="55" spans="1:5">
      <c r="A55" s="67"/>
      <c r="B55" s="24" t="s">
        <v>11</v>
      </c>
      <c r="C55" s="25">
        <v>5232.5043760000099</v>
      </c>
      <c r="D55" s="36">
        <v>70508.934933279859</v>
      </c>
      <c r="E55" s="26">
        <f t="shared" si="0"/>
        <v>7.4210515035453968</v>
      </c>
    </row>
    <row r="56" spans="1:5">
      <c r="A56" s="67">
        <v>2011</v>
      </c>
      <c r="B56" s="18" t="s">
        <v>8</v>
      </c>
      <c r="C56" s="19">
        <v>8431.2191248084346</v>
      </c>
      <c r="D56" s="32">
        <v>64777.738006154585</v>
      </c>
      <c r="E56" s="20">
        <f t="shared" si="0"/>
        <v>13.015612128980758</v>
      </c>
    </row>
    <row r="57" spans="1:5">
      <c r="A57" s="67"/>
      <c r="B57" s="21" t="s">
        <v>9</v>
      </c>
      <c r="C57" s="22">
        <v>6697.4453847119985</v>
      </c>
      <c r="D57" s="34">
        <v>70690.375755071509</v>
      </c>
      <c r="E57" s="23">
        <f t="shared" si="0"/>
        <v>9.4743383567762507</v>
      </c>
    </row>
    <row r="58" spans="1:5">
      <c r="A58" s="67"/>
      <c r="B58" s="21" t="s">
        <v>10</v>
      </c>
      <c r="C58" s="22">
        <v>4349.890992388333</v>
      </c>
      <c r="D58" s="34">
        <v>73871.086159779385</v>
      </c>
      <c r="E58" s="23">
        <f t="shared" si="0"/>
        <v>5.8884892838582896</v>
      </c>
    </row>
    <row r="59" spans="1:5">
      <c r="A59" s="67"/>
      <c r="B59" s="24" t="s">
        <v>11</v>
      </c>
      <c r="C59" s="25">
        <v>6154.0092889798389</v>
      </c>
      <c r="D59" s="36">
        <v>78028.121558929008</v>
      </c>
      <c r="E59" s="26">
        <f t="shared" si="0"/>
        <v>7.8869120081689514</v>
      </c>
    </row>
    <row r="60" spans="1:5">
      <c r="A60" s="67">
        <v>2012</v>
      </c>
      <c r="B60" s="18" t="s">
        <v>8</v>
      </c>
      <c r="C60" s="19">
        <v>7892.6936246853675</v>
      </c>
      <c r="D60" s="32">
        <v>70408.04618268495</v>
      </c>
      <c r="E60" s="20">
        <f t="shared" si="0"/>
        <v>11.209931325471679</v>
      </c>
    </row>
    <row r="61" spans="1:5">
      <c r="A61" s="67"/>
      <c r="B61" s="21" t="s">
        <v>9</v>
      </c>
      <c r="C61" s="22">
        <v>5622.1308966418583</v>
      </c>
      <c r="D61" s="34">
        <v>70470.730418207328</v>
      </c>
      <c r="E61" s="23">
        <f t="shared" si="0"/>
        <v>7.9779659771899905</v>
      </c>
    </row>
    <row r="62" spans="1:5">
      <c r="A62" s="67"/>
      <c r="B62" s="21" t="s">
        <v>10</v>
      </c>
      <c r="C62" s="22">
        <v>5736.2922657135723</v>
      </c>
      <c r="D62" s="34">
        <v>75408.572869096737</v>
      </c>
      <c r="E62" s="23">
        <f t="shared" si="0"/>
        <v>7.6069497770118497</v>
      </c>
    </row>
    <row r="63" spans="1:5">
      <c r="A63" s="67"/>
      <c r="B63" s="24" t="s">
        <v>11</v>
      </c>
      <c r="C63" s="25">
        <v>2518.2153452201637</v>
      </c>
      <c r="D63" s="36">
        <v>81204.768757100072</v>
      </c>
      <c r="E63" s="26">
        <f t="shared" si="0"/>
        <v>3.1010683039473417</v>
      </c>
    </row>
    <row r="64" spans="1:5">
      <c r="A64" s="67">
        <v>2013</v>
      </c>
      <c r="B64" s="18" t="s">
        <v>8</v>
      </c>
      <c r="C64" s="19">
        <v>10571.579649062274</v>
      </c>
      <c r="D64" s="32">
        <v>70109.845711209506</v>
      </c>
      <c r="E64" s="20">
        <f t="shared" si="0"/>
        <v>15.078594941725907</v>
      </c>
    </row>
    <row r="65" spans="1:5">
      <c r="A65" s="67"/>
      <c r="B65" s="21" t="s">
        <v>9</v>
      </c>
      <c r="C65" s="22">
        <v>21019.149824980846</v>
      </c>
      <c r="D65" s="34">
        <v>72506.330916927327</v>
      </c>
      <c r="E65" s="23">
        <f t="shared" si="0"/>
        <v>28.9893993519864</v>
      </c>
    </row>
    <row r="66" spans="1:5">
      <c r="A66" s="67"/>
      <c r="B66" s="21" t="s">
        <v>10</v>
      </c>
      <c r="C66" s="22">
        <v>4178.8102629067153</v>
      </c>
      <c r="D66" s="34">
        <v>71572.315395021171</v>
      </c>
      <c r="E66" s="23">
        <f t="shared" si="0"/>
        <v>5.8385847095250023</v>
      </c>
    </row>
    <row r="67" spans="1:5">
      <c r="A67" s="67"/>
      <c r="B67" s="24" t="s">
        <v>11</v>
      </c>
      <c r="C67" s="25">
        <v>12587.220274832252</v>
      </c>
      <c r="D67" s="36">
        <v>77697.807768773942</v>
      </c>
      <c r="E67" s="26">
        <f t="shared" si="0"/>
        <v>16.200225767361925</v>
      </c>
    </row>
    <row r="68" spans="1:5">
      <c r="A68" s="67">
        <v>2014</v>
      </c>
      <c r="B68" s="18" t="s">
        <v>8</v>
      </c>
      <c r="C68" s="19">
        <v>13828.000864523021</v>
      </c>
      <c r="D68" s="32">
        <v>67948.574663659165</v>
      </c>
      <c r="E68" s="20">
        <f t="shared" si="0"/>
        <v>20.350685695720163</v>
      </c>
    </row>
    <row r="69" spans="1:5">
      <c r="A69" s="67"/>
      <c r="B69" s="21" t="s">
        <v>9</v>
      </c>
      <c r="C69" s="22">
        <v>5478.9218144462302</v>
      </c>
      <c r="D69" s="34">
        <v>71907.602071419184</v>
      </c>
      <c r="E69" s="23">
        <f t="shared" si="0"/>
        <v>7.6193916312277015</v>
      </c>
    </row>
    <row r="70" spans="1:5">
      <c r="A70" s="67"/>
      <c r="B70" s="21" t="s">
        <v>10</v>
      </c>
      <c r="C70" s="22">
        <v>3222.1242099690189</v>
      </c>
      <c r="D70" s="34">
        <v>74404.547237574749</v>
      </c>
      <c r="E70" s="23">
        <f t="shared" si="0"/>
        <v>4.3305474323776636</v>
      </c>
    </row>
    <row r="71" spans="1:5">
      <c r="A71" s="69"/>
      <c r="B71" s="21" t="s">
        <v>11</v>
      </c>
      <c r="C71" s="22">
        <v>7822.4502266866257</v>
      </c>
      <c r="D71" s="36">
        <v>80849.715056956353</v>
      </c>
      <c r="E71" s="26">
        <f t="shared" si="0"/>
        <v>9.675297211840423</v>
      </c>
    </row>
    <row r="72" spans="1:5">
      <c r="A72" s="69">
        <v>2015</v>
      </c>
      <c r="B72" s="27" t="s">
        <v>8</v>
      </c>
      <c r="C72" s="19">
        <v>12136.455959530873</v>
      </c>
      <c r="D72" s="32">
        <v>66593.308528127818</v>
      </c>
      <c r="E72" s="20">
        <f t="shared" si="0"/>
        <v>18.224737932047109</v>
      </c>
    </row>
    <row r="73" spans="1:5">
      <c r="A73" s="70"/>
      <c r="B73" s="28" t="s">
        <v>9</v>
      </c>
      <c r="C73" s="29">
        <v>6656.8488480026253</v>
      </c>
      <c r="D73" s="34">
        <v>68918.238291367685</v>
      </c>
      <c r="E73" s="23">
        <f t="shared" si="0"/>
        <v>9.6590525426074691</v>
      </c>
    </row>
    <row r="74" spans="1:5">
      <c r="A74" s="70"/>
      <c r="B74" s="28" t="s">
        <v>10</v>
      </c>
      <c r="C74" s="29">
        <v>9635.6377676483353</v>
      </c>
      <c r="D74" s="34">
        <v>71109.863203583722</v>
      </c>
      <c r="E74" s="23">
        <f t="shared" si="0"/>
        <v>13.550353401836848</v>
      </c>
    </row>
    <row r="75" spans="1:5">
      <c r="A75" s="71"/>
      <c r="B75" s="28" t="s">
        <v>11</v>
      </c>
      <c r="C75" s="29">
        <v>7516.2303818237178</v>
      </c>
      <c r="D75" s="36">
        <v>73618.311315126964</v>
      </c>
      <c r="E75" s="26">
        <f t="shared" si="0"/>
        <v>10.209729410458911</v>
      </c>
    </row>
    <row r="76" spans="1:5">
      <c r="A76" s="72">
        <v>2016</v>
      </c>
      <c r="B76" s="18" t="s">
        <v>8</v>
      </c>
      <c r="C76" s="19">
        <v>12805.685004525179</v>
      </c>
      <c r="D76" s="32">
        <v>61276.976435245233</v>
      </c>
      <c r="E76" s="20">
        <f t="shared" si="0"/>
        <v>20.898036668074923</v>
      </c>
    </row>
    <row r="77" spans="1:5">
      <c r="A77" s="73"/>
      <c r="B77" s="21" t="s">
        <v>9</v>
      </c>
      <c r="C77" s="22">
        <v>6210.7469518721646</v>
      </c>
      <c r="D77" s="34">
        <v>65294.356757306137</v>
      </c>
      <c r="E77" s="23">
        <f t="shared" si="0"/>
        <v>9.5119199580401883</v>
      </c>
    </row>
    <row r="78" spans="1:5">
      <c r="A78" s="73"/>
      <c r="B78" s="21" t="s">
        <v>10</v>
      </c>
      <c r="C78" s="22">
        <v>4320.0985201552676</v>
      </c>
      <c r="D78" s="34">
        <v>66206.521236010914</v>
      </c>
      <c r="E78" s="23">
        <f t="shared" si="0"/>
        <v>6.5251857966605984</v>
      </c>
    </row>
    <row r="79" spans="1:5">
      <c r="A79" s="73"/>
      <c r="B79" s="21" t="s">
        <v>11</v>
      </c>
      <c r="C79" s="22">
        <v>7855.7742798719855</v>
      </c>
      <c r="D79" s="36">
        <v>70318.686448211665</v>
      </c>
      <c r="E79" s="26">
        <f t="shared" si="0"/>
        <v>11.171673813414602</v>
      </c>
    </row>
    <row r="80" spans="1:5">
      <c r="A80" s="69">
        <v>2017</v>
      </c>
      <c r="B80" s="18" t="s">
        <v>8</v>
      </c>
      <c r="C80" s="19">
        <v>13780.315352408652</v>
      </c>
      <c r="D80" s="32">
        <v>62681.48910276805</v>
      </c>
      <c r="E80" s="20">
        <f t="shared" si="0"/>
        <v>21.984664930048869</v>
      </c>
    </row>
    <row r="81" spans="1:6">
      <c r="A81" s="70"/>
      <c r="B81" s="21" t="s">
        <v>9</v>
      </c>
      <c r="C81" s="22">
        <v>6837.3419401765786</v>
      </c>
      <c r="D81" s="34">
        <v>67306.521171126486</v>
      </c>
      <c r="E81" s="23">
        <f t="shared" si="0"/>
        <v>10.158513352358046</v>
      </c>
    </row>
    <row r="82" spans="1:6" s="30" customFormat="1">
      <c r="A82" s="70"/>
      <c r="B82" s="21" t="s">
        <v>10</v>
      </c>
      <c r="C82" s="22">
        <v>6361.5013980808271</v>
      </c>
      <c r="D82" s="34">
        <v>72859.946351139326</v>
      </c>
      <c r="E82" s="23">
        <f t="shared" si="0"/>
        <v>8.7311365388911675</v>
      </c>
      <c r="F82" s="3"/>
    </row>
    <row r="83" spans="1:6" s="30" customFormat="1">
      <c r="A83" s="70"/>
      <c r="B83" s="21" t="s">
        <v>11</v>
      </c>
      <c r="C83" s="22">
        <v>7062.6647916455304</v>
      </c>
      <c r="D83" s="34">
        <v>74531.151685638411</v>
      </c>
      <c r="E83" s="26">
        <f t="shared" si="0"/>
        <v>9.476124589399646</v>
      </c>
      <c r="F83" s="3"/>
    </row>
    <row r="84" spans="1:6">
      <c r="A84" s="69">
        <v>2018</v>
      </c>
      <c r="B84" s="31" t="s">
        <v>8</v>
      </c>
      <c r="C84" s="19">
        <v>14075.40459729129</v>
      </c>
      <c r="D84" s="32">
        <v>69420.499164563138</v>
      </c>
      <c r="E84" s="20">
        <f t="shared" si="0"/>
        <v>20.275573881894985</v>
      </c>
    </row>
    <row r="85" spans="1:6">
      <c r="A85" s="70"/>
      <c r="B85" s="33" t="s">
        <v>9</v>
      </c>
      <c r="C85" s="22">
        <v>9579.7159451963635</v>
      </c>
      <c r="D85" s="34">
        <v>71798.253008443775</v>
      </c>
      <c r="E85" s="23">
        <f t="shared" si="0"/>
        <v>13.34254740720467</v>
      </c>
    </row>
    <row r="86" spans="1:6">
      <c r="A86" s="70"/>
      <c r="B86" s="33" t="s">
        <v>10</v>
      </c>
      <c r="C86" s="22">
        <v>4133.5158426340558</v>
      </c>
      <c r="D86" s="34">
        <v>74203.287164187874</v>
      </c>
      <c r="E86" s="23">
        <f t="shared" si="0"/>
        <v>5.5705292859707445</v>
      </c>
    </row>
    <row r="87" spans="1:6">
      <c r="A87" s="71"/>
      <c r="B87" s="35" t="s">
        <v>11</v>
      </c>
      <c r="C87" s="25">
        <v>6322.2748553898646</v>
      </c>
      <c r="D87" s="36">
        <v>74164.692166525856</v>
      </c>
      <c r="E87" s="26">
        <f t="shared" si="0"/>
        <v>8.5246424824283373</v>
      </c>
    </row>
    <row r="88" spans="1:6">
      <c r="A88" s="69">
        <v>2019</v>
      </c>
      <c r="B88" s="31" t="s">
        <v>8</v>
      </c>
      <c r="C88" s="19">
        <v>15213.116431553977</v>
      </c>
      <c r="D88" s="32">
        <v>70086.96034126755</v>
      </c>
      <c r="E88" s="20">
        <f t="shared" si="0"/>
        <v>21.706058241758871</v>
      </c>
    </row>
    <row r="89" spans="1:6">
      <c r="A89" s="70"/>
      <c r="B89" s="33" t="s">
        <v>9</v>
      </c>
      <c r="C89" s="22">
        <v>6506.8206192988437</v>
      </c>
      <c r="D89" s="34">
        <v>69673.936926022972</v>
      </c>
      <c r="E89" s="23">
        <f t="shared" si="0"/>
        <v>9.3389593101471053</v>
      </c>
    </row>
    <row r="90" spans="1:6">
      <c r="A90" s="70"/>
      <c r="B90" s="33" t="s">
        <v>10</v>
      </c>
      <c r="C90" s="22">
        <v>8218.6973039439381</v>
      </c>
      <c r="D90" s="34">
        <v>70116.9482664729</v>
      </c>
      <c r="E90" s="23">
        <f t="shared" si="0"/>
        <v>11.721413306109028</v>
      </c>
    </row>
    <row r="91" spans="1:6">
      <c r="A91" s="71"/>
      <c r="B91" s="35" t="s">
        <v>11</v>
      </c>
      <c r="C91" s="25">
        <v>4681.1140034669561</v>
      </c>
      <c r="D91" s="36">
        <v>72791.651419776375</v>
      </c>
      <c r="E91" s="26">
        <f t="shared" si="0"/>
        <v>6.4308391308115995</v>
      </c>
    </row>
    <row r="92" spans="1:6">
      <c r="A92" s="72">
        <v>2020</v>
      </c>
      <c r="B92" s="18" t="s">
        <v>8</v>
      </c>
      <c r="C92" s="19">
        <v>16782.618658183317</v>
      </c>
      <c r="D92" s="32">
        <v>63741.275767874766</v>
      </c>
      <c r="E92" s="20">
        <f t="shared" si="0"/>
        <v>26.329279506893176</v>
      </c>
    </row>
    <row r="93" spans="1:6">
      <c r="A93" s="73"/>
      <c r="B93" s="21" t="s">
        <v>9</v>
      </c>
      <c r="C93" s="22">
        <v>7312.7951377603413</v>
      </c>
      <c r="D93" s="34">
        <v>43317.353539917458</v>
      </c>
      <c r="E93" s="23">
        <f t="shared" si="0"/>
        <v>16.881906534344285</v>
      </c>
    </row>
    <row r="94" spans="1:6">
      <c r="A94" s="73"/>
      <c r="B94" s="21" t="s">
        <v>10</v>
      </c>
      <c r="C94" s="22">
        <v>1337.7820705489009</v>
      </c>
      <c r="D94" s="34">
        <v>55198.182839379748</v>
      </c>
      <c r="E94" s="23">
        <f t="shared" si="0"/>
        <v>2.4235980275685707</v>
      </c>
    </row>
    <row r="95" spans="1:6">
      <c r="A95" s="74"/>
      <c r="B95" s="24" t="s">
        <v>11</v>
      </c>
      <c r="C95" s="25">
        <v>2782.0905551690689</v>
      </c>
      <c r="D95" s="36">
        <v>65087.850526919356</v>
      </c>
      <c r="E95" s="26">
        <f t="shared" si="0"/>
        <v>4.2743623159262851</v>
      </c>
    </row>
    <row r="96" spans="1:6">
      <c r="A96" s="72">
        <v>2021</v>
      </c>
      <c r="B96" s="28" t="s">
        <v>8</v>
      </c>
      <c r="C96" s="19">
        <v>16503.338739883602</v>
      </c>
      <c r="D96" s="32">
        <v>64744.074333951452</v>
      </c>
      <c r="E96" s="20">
        <f t="shared" si="0"/>
        <v>25.490114592972624</v>
      </c>
    </row>
    <row r="97" spans="1:5">
      <c r="A97" s="73"/>
      <c r="B97" s="28" t="s">
        <v>9</v>
      </c>
      <c r="C97" s="22">
        <v>5927.4183546739514</v>
      </c>
      <c r="D97" s="34">
        <v>68773.250905278066</v>
      </c>
      <c r="E97" s="23">
        <f t="shared" si="0"/>
        <v>8.6187845952459501</v>
      </c>
    </row>
    <row r="98" spans="1:5">
      <c r="A98" s="73"/>
      <c r="B98" s="21" t="s">
        <v>10</v>
      </c>
      <c r="C98" s="22">
        <v>6432.6462084656587</v>
      </c>
      <c r="D98" s="34">
        <v>72101.663909262687</v>
      </c>
      <c r="E98" s="23">
        <f t="shared" si="0"/>
        <v>8.9216335098187329</v>
      </c>
    </row>
    <row r="99" spans="1:5">
      <c r="A99" s="74"/>
      <c r="B99" s="21" t="s">
        <v>11</v>
      </c>
      <c r="C99" s="25">
        <v>4983.6119031798971</v>
      </c>
      <c r="D99" s="36">
        <v>74709.808860573277</v>
      </c>
      <c r="E99" s="26">
        <f t="shared" si="0"/>
        <v>6.6706259582065481</v>
      </c>
    </row>
    <row r="100" spans="1:5">
      <c r="A100" s="76">
        <v>2022</v>
      </c>
      <c r="B100" s="18" t="s">
        <v>8</v>
      </c>
      <c r="C100" s="19">
        <v>22783.230884297209</v>
      </c>
      <c r="D100" s="32">
        <v>75889.984198383492</v>
      </c>
      <c r="E100" s="20">
        <f t="shared" si="0"/>
        <v>30.021393633104097</v>
      </c>
    </row>
    <row r="101" spans="1:5">
      <c r="A101" s="77"/>
      <c r="B101" s="21" t="s">
        <v>9</v>
      </c>
      <c r="C101" s="22">
        <v>8389.5554570227341</v>
      </c>
      <c r="D101" s="34">
        <v>81678.073422232366</v>
      </c>
      <c r="E101" s="23">
        <f t="shared" ref="E101:E115" si="1">C101/D101*100</f>
        <v>10.271490383536811</v>
      </c>
    </row>
    <row r="102" spans="1:5">
      <c r="A102" s="77"/>
      <c r="B102" s="21" t="s">
        <v>10</v>
      </c>
      <c r="C102" s="22">
        <v>3449.3645464216743</v>
      </c>
      <c r="D102" s="34">
        <v>82064.895687964832</v>
      </c>
      <c r="E102" s="23">
        <f t="shared" si="1"/>
        <v>4.203215659393738</v>
      </c>
    </row>
    <row r="103" spans="1:5" ht="21.75" customHeight="1">
      <c r="A103" s="78"/>
      <c r="B103" s="24" t="s">
        <v>11</v>
      </c>
      <c r="C103" s="25">
        <v>1797.3013079805078</v>
      </c>
      <c r="D103" s="36">
        <v>89726.222783876845</v>
      </c>
      <c r="E103" s="26">
        <f t="shared" si="1"/>
        <v>2.0030948057511115</v>
      </c>
    </row>
    <row r="104" spans="1:5" ht="21.75" customHeight="1">
      <c r="A104" s="72">
        <v>2023</v>
      </c>
      <c r="B104" s="18" t="s">
        <v>8</v>
      </c>
      <c r="C104" s="19">
        <v>23658.664414511535</v>
      </c>
      <c r="D104" s="32">
        <v>93523.127425668979</v>
      </c>
      <c r="E104" s="20">
        <f t="shared" si="1"/>
        <v>25.29712710186595</v>
      </c>
    </row>
    <row r="105" spans="1:5" ht="21.75" customHeight="1">
      <c r="A105" s="73"/>
      <c r="B105" s="21" t="s">
        <v>9</v>
      </c>
      <c r="C105" s="22">
        <v>8644.3271284598413</v>
      </c>
      <c r="D105" s="34">
        <v>102218.53437646665</v>
      </c>
      <c r="E105" s="23">
        <f t="shared" si="1"/>
        <v>8.4567120641968323</v>
      </c>
    </row>
    <row r="106" spans="1:5" ht="21.75" customHeight="1">
      <c r="A106" s="73"/>
      <c r="B106" s="21" t="s">
        <v>10</v>
      </c>
      <c r="C106" s="22">
        <v>2911.175633376753</v>
      </c>
      <c r="D106" s="34">
        <v>108353.18237297644</v>
      </c>
      <c r="E106" s="23">
        <f t="shared" si="1"/>
        <v>2.6867467753331145</v>
      </c>
    </row>
    <row r="107" spans="1:5" ht="21.75" customHeight="1">
      <c r="A107" s="73"/>
      <c r="B107" s="21" t="s">
        <v>11</v>
      </c>
      <c r="C107" s="22">
        <v>1261.3670318179013</v>
      </c>
      <c r="D107" s="34">
        <v>114896.8022111171</v>
      </c>
      <c r="E107" s="26">
        <f t="shared" si="1"/>
        <v>1.0978260556809953</v>
      </c>
    </row>
    <row r="108" spans="1:5" ht="21.75" customHeight="1">
      <c r="A108" s="72">
        <v>2024</v>
      </c>
      <c r="B108" s="27" t="s">
        <v>8</v>
      </c>
      <c r="C108" s="19">
        <v>27216.220855023865</v>
      </c>
      <c r="D108" s="19">
        <v>109312.18553079128</v>
      </c>
      <c r="E108" s="20">
        <f t="shared" si="1"/>
        <v>24.897700766725176</v>
      </c>
    </row>
    <row r="109" spans="1:5" ht="21.75" customHeight="1">
      <c r="A109" s="73"/>
      <c r="B109" s="28" t="s">
        <v>9</v>
      </c>
      <c r="C109" s="22">
        <v>6481.5999923894906</v>
      </c>
      <c r="D109" s="22">
        <v>113253.38418345551</v>
      </c>
      <c r="E109" s="23">
        <f t="shared" si="1"/>
        <v>5.7230960815176664</v>
      </c>
    </row>
    <row r="110" spans="1:5" ht="21.75" customHeight="1">
      <c r="A110" s="73"/>
      <c r="B110" s="28" t="s">
        <v>10</v>
      </c>
      <c r="C110" s="22">
        <v>3063.0804967717627</v>
      </c>
      <c r="D110" s="22">
        <v>107330.80483100783</v>
      </c>
      <c r="E110" s="23">
        <f t="shared" si="1"/>
        <v>2.8538689350131845</v>
      </c>
    </row>
    <row r="111" spans="1:5" ht="21.75" customHeight="1">
      <c r="A111" s="73"/>
      <c r="B111" s="21" t="s">
        <v>11</v>
      </c>
      <c r="C111" s="22">
        <v>1173.8011058394311</v>
      </c>
      <c r="D111" s="22">
        <v>105452.70432413962</v>
      </c>
      <c r="E111" s="23">
        <f>C111/D111*100</f>
        <v>1.1131066892617674</v>
      </c>
    </row>
    <row r="112" spans="1:5" ht="21.75" customHeight="1">
      <c r="A112" s="69">
        <v>2025</v>
      </c>
      <c r="B112" s="18" t="s">
        <v>8</v>
      </c>
      <c r="C112" s="19">
        <v>24411.733749407431</v>
      </c>
      <c r="D112" s="19">
        <v>94718.925535338843</v>
      </c>
      <c r="E112" s="20">
        <f>C112/D112*100</f>
        <v>25.772815317990084</v>
      </c>
    </row>
    <row r="113" spans="1:11" ht="21.75" customHeight="1">
      <c r="A113" s="70"/>
      <c r="B113" s="21" t="s">
        <v>9</v>
      </c>
      <c r="C113" s="22">
        <v>13756.152285866512</v>
      </c>
      <c r="D113" s="22">
        <v>100367.3456167377</v>
      </c>
      <c r="E113" s="23">
        <f>C113/D113*100</f>
        <v>13.705804613380627</v>
      </c>
    </row>
    <row r="114" spans="1:11" ht="21.75" customHeight="1">
      <c r="A114" s="70"/>
      <c r="B114" s="21" t="s">
        <v>10</v>
      </c>
      <c r="C114" s="22">
        <v>7728.6572601379657</v>
      </c>
      <c r="D114" s="22">
        <v>103593.41079967155</v>
      </c>
      <c r="E114" s="23">
        <f>C114/D114*100</f>
        <v>7.4605683898984729</v>
      </c>
    </row>
    <row r="115" spans="1:11">
      <c r="A115" s="71"/>
      <c r="B115" s="24" t="s">
        <v>11</v>
      </c>
      <c r="C115" s="25">
        <v>-5025.7739673781398</v>
      </c>
      <c r="D115" s="25">
        <v>113491.86529323201</v>
      </c>
      <c r="E115" s="26">
        <f t="shared" si="1"/>
        <v>-4.4283120683521338</v>
      </c>
    </row>
    <row r="116" spans="1:11">
      <c r="A116" s="37"/>
      <c r="B116" s="38"/>
      <c r="C116" s="39"/>
      <c r="D116" s="39"/>
      <c r="E116" s="40"/>
    </row>
    <row r="117" spans="1:11">
      <c r="A117" s="41" t="s">
        <v>12</v>
      </c>
    </row>
    <row r="118" spans="1:11">
      <c r="A118" s="41" t="s">
        <v>13</v>
      </c>
    </row>
    <row r="119" spans="1:11" ht="50.25" customHeight="1">
      <c r="A119" s="75" t="s">
        <v>14</v>
      </c>
      <c r="B119" s="75"/>
      <c r="C119" s="75"/>
      <c r="D119" s="75"/>
      <c r="E119" s="75"/>
      <c r="F119" s="75"/>
      <c r="G119" s="75"/>
      <c r="H119" s="75"/>
      <c r="I119" s="75"/>
      <c r="J119" s="75"/>
      <c r="K119" s="75"/>
    </row>
    <row r="120" spans="1:11">
      <c r="A120" s="42"/>
      <c r="B120" s="43"/>
      <c r="C120" s="43"/>
      <c r="D120" s="43"/>
      <c r="E120" s="43"/>
    </row>
    <row r="121" spans="1:11">
      <c r="A121" s="42"/>
    </row>
  </sheetData>
  <mergeCells count="32">
    <mergeCell ref="A119:K119"/>
    <mergeCell ref="A100:A103"/>
    <mergeCell ref="A68:A71"/>
    <mergeCell ref="A72:A75"/>
    <mergeCell ref="A76:A79"/>
    <mergeCell ref="A80:A83"/>
    <mergeCell ref="A112:A115"/>
    <mergeCell ref="A104:A107"/>
    <mergeCell ref="A108:A111"/>
    <mergeCell ref="A16:A19"/>
    <mergeCell ref="A92:A95"/>
    <mergeCell ref="A96:A99"/>
    <mergeCell ref="A44:A47"/>
    <mergeCell ref="A60:A63"/>
    <mergeCell ref="A64:A67"/>
    <mergeCell ref="A20:A23"/>
    <mergeCell ref="A84:A87"/>
    <mergeCell ref="A88:A91"/>
    <mergeCell ref="A6:A7"/>
    <mergeCell ref="A56:A59"/>
    <mergeCell ref="A48:A51"/>
    <mergeCell ref="A52:A55"/>
    <mergeCell ref="A12:A15"/>
    <mergeCell ref="A1:XFD3"/>
    <mergeCell ref="C7:D7"/>
    <mergeCell ref="B6:B7"/>
    <mergeCell ref="A36:A39"/>
    <mergeCell ref="A40:A43"/>
    <mergeCell ref="A8:A11"/>
    <mergeCell ref="A24:A27"/>
    <mergeCell ref="A28:A31"/>
    <mergeCell ref="A32:A3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BDEE6-1F24-4BD9-A84D-0A08249D2B36}">
  <dimension ref="A1:U40"/>
  <sheetViews>
    <sheetView zoomScale="80" zoomScaleNormal="80" workbookViewId="0">
      <selection activeCell="D6" sqref="D6"/>
    </sheetView>
  </sheetViews>
  <sheetFormatPr defaultColWidth="0" defaultRowHeight="18"/>
  <cols>
    <col min="1" max="1" width="11.42578125" style="3" customWidth="1"/>
    <col min="2" max="2" width="25.28515625" style="3" customWidth="1"/>
    <col min="3" max="3" width="20.7109375" style="3" customWidth="1"/>
    <col min="4" max="4" width="18.140625" style="3" customWidth="1"/>
    <col min="5" max="5" width="0.85546875" style="3" customWidth="1"/>
    <col min="6" max="18" width="11.42578125" style="3" customWidth="1"/>
    <col min="19" max="19" width="4.7109375" style="3" customWidth="1"/>
    <col min="20" max="21" width="11.42578125" style="3" customWidth="1"/>
    <col min="22" max="16384" width="11.42578125" style="3" hidden="1"/>
  </cols>
  <sheetData>
    <row r="1" spans="1:5" s="62" customFormat="1" ht="18.75" customHeight="1">
      <c r="A1" s="62" t="s">
        <v>15</v>
      </c>
    </row>
    <row r="2" spans="1:5" s="62" customFormat="1" ht="18.75" customHeight="1"/>
    <row r="3" spans="1:5" s="62" customFormat="1" ht="18.75" customHeight="1"/>
    <row r="4" spans="1:5">
      <c r="A4" s="1"/>
      <c r="B4" s="1"/>
      <c r="C4" s="1"/>
      <c r="D4" s="2"/>
      <c r="E4" s="2"/>
    </row>
    <row r="5" spans="1:5">
      <c r="A5" s="2"/>
      <c r="B5" s="2"/>
      <c r="C5" s="2"/>
      <c r="D5" s="2"/>
      <c r="E5" s="2"/>
    </row>
    <row r="6" spans="1:5">
      <c r="A6" s="65" t="s">
        <v>1</v>
      </c>
      <c r="B6" s="4" t="s">
        <v>16</v>
      </c>
      <c r="C6" s="4" t="s">
        <v>4</v>
      </c>
      <c r="D6" s="4" t="s">
        <v>5</v>
      </c>
      <c r="E6" s="2"/>
    </row>
    <row r="7" spans="1:5">
      <c r="A7" s="79"/>
      <c r="B7" s="80" t="s">
        <v>6</v>
      </c>
      <c r="C7" s="81"/>
      <c r="D7" s="61" t="s">
        <v>7</v>
      </c>
    </row>
    <row r="8" spans="1:5">
      <c r="A8" s="55">
        <v>1999</v>
      </c>
      <c r="B8" s="44">
        <v>13960.317834420071</v>
      </c>
      <c r="C8" s="44">
        <v>132138.21153868953</v>
      </c>
      <c r="D8" s="45">
        <v>10.564936267759721</v>
      </c>
    </row>
    <row r="9" spans="1:5">
      <c r="A9" s="56">
        <v>2000</v>
      </c>
      <c r="B9" s="46">
        <v>18248.688390210074</v>
      </c>
      <c r="C9" s="46">
        <v>157518.88517081307</v>
      </c>
      <c r="D9" s="47">
        <v>11.585079700393539</v>
      </c>
    </row>
    <row r="10" spans="1:5">
      <c r="A10" s="56">
        <v>2001</v>
      </c>
      <c r="B10" s="46">
        <v>30057.181122777041</v>
      </c>
      <c r="C10" s="46">
        <v>156746.29455360502</v>
      </c>
      <c r="D10" s="47">
        <v>19.17568846420032</v>
      </c>
    </row>
    <row r="11" spans="1:5">
      <c r="A11" s="56">
        <v>2002</v>
      </c>
      <c r="B11" s="46">
        <v>24099.206211130102</v>
      </c>
      <c r="C11" s="46">
        <v>156689.08687117725</v>
      </c>
      <c r="D11" s="47">
        <v>15.380271014626198</v>
      </c>
    </row>
    <row r="12" spans="1:5">
      <c r="A12" s="56">
        <v>2003</v>
      </c>
      <c r="B12" s="46">
        <v>18249.968776300091</v>
      </c>
      <c r="C12" s="46">
        <v>153816.7425544564</v>
      </c>
      <c r="D12" s="47">
        <v>11.864747928749713</v>
      </c>
    </row>
    <row r="13" spans="1:5">
      <c r="A13" s="56">
        <v>2004</v>
      </c>
      <c r="B13" s="46">
        <v>25015.569865094192</v>
      </c>
      <c r="C13" s="46">
        <v>170254.84761512789</v>
      </c>
      <c r="D13" s="47">
        <v>14.693014745544028</v>
      </c>
    </row>
    <row r="14" spans="1:5">
      <c r="A14" s="56">
        <v>2005</v>
      </c>
      <c r="B14" s="46">
        <v>25795.824800636266</v>
      </c>
      <c r="C14" s="46">
        <v>190325.38256301178</v>
      </c>
      <c r="D14" s="47">
        <v>13.553538920167924</v>
      </c>
    </row>
    <row r="15" spans="1:5">
      <c r="A15" s="57">
        <v>2006</v>
      </c>
      <c r="B15" s="48">
        <v>21236.848947451224</v>
      </c>
      <c r="C15" s="48">
        <v>221074.76516866137</v>
      </c>
      <c r="D15" s="49">
        <v>9.6061841030337867</v>
      </c>
    </row>
    <row r="16" spans="1:5">
      <c r="A16" s="57">
        <v>2007</v>
      </c>
      <c r="B16" s="48">
        <v>32394.037818461522</v>
      </c>
      <c r="C16" s="48">
        <v>246538.83174366935</v>
      </c>
      <c r="D16" s="49">
        <v>13.139527590583441</v>
      </c>
    </row>
    <row r="17" spans="1:6">
      <c r="A17" s="57">
        <v>2008</v>
      </c>
      <c r="B17" s="48">
        <v>29521.419070842763</v>
      </c>
      <c r="C17" s="48">
        <v>274661.96495037084</v>
      </c>
      <c r="D17" s="49">
        <v>10.74827345540073</v>
      </c>
    </row>
    <row r="18" spans="1:6">
      <c r="A18" s="57">
        <v>2009</v>
      </c>
      <c r="B18" s="48">
        <v>17851.259975357607</v>
      </c>
      <c r="C18" s="48">
        <v>215557.50457752484</v>
      </c>
      <c r="D18" s="49">
        <v>8.281437480149263</v>
      </c>
    </row>
    <row r="19" spans="1:6">
      <c r="A19" s="57">
        <v>2010</v>
      </c>
      <c r="B19" s="48">
        <v>27199.001574955291</v>
      </c>
      <c r="C19" s="48">
        <v>249641.60365031241</v>
      </c>
      <c r="D19" s="49">
        <v>10.895219858086845</v>
      </c>
    </row>
    <row r="20" spans="1:6">
      <c r="A20" s="57">
        <v>2011</v>
      </c>
      <c r="B20" s="48">
        <v>25632.564790888606</v>
      </c>
      <c r="C20" s="48">
        <v>287367.3214799345</v>
      </c>
      <c r="D20" s="49">
        <v>8.9197911087737953</v>
      </c>
    </row>
    <row r="21" spans="1:6">
      <c r="A21" s="57">
        <v>2012</v>
      </c>
      <c r="B21" s="48">
        <v>21769.332132260963</v>
      </c>
      <c r="C21" s="48">
        <v>297492.11822708906</v>
      </c>
      <c r="D21" s="49">
        <v>7.3176164336708425</v>
      </c>
    </row>
    <row r="22" spans="1:6">
      <c r="A22" s="57">
        <v>2013</v>
      </c>
      <c r="B22" s="48">
        <v>48356.760011782091</v>
      </c>
      <c r="C22" s="48">
        <v>291886.29979193193</v>
      </c>
      <c r="D22" s="49">
        <v>16.566985174108101</v>
      </c>
    </row>
    <row r="23" spans="1:6">
      <c r="A23" s="57">
        <v>2014</v>
      </c>
      <c r="B23" s="48">
        <v>30351.497115624894</v>
      </c>
      <c r="C23" s="48">
        <v>295110.43902960944</v>
      </c>
      <c r="D23" s="49">
        <v>10.28479277636791</v>
      </c>
    </row>
    <row r="24" spans="1:6">
      <c r="A24" s="57">
        <v>2015</v>
      </c>
      <c r="B24" s="48">
        <v>35945.172957005554</v>
      </c>
      <c r="C24" s="48">
        <v>280239.7213382062</v>
      </c>
      <c r="D24" s="49">
        <v>12.826580323931047</v>
      </c>
    </row>
    <row r="25" spans="1:6">
      <c r="A25" s="57">
        <v>2016</v>
      </c>
      <c r="B25" s="48">
        <v>31192.304756424597</v>
      </c>
      <c r="C25" s="48">
        <v>263096.54087677394</v>
      </c>
      <c r="D25" s="49">
        <v>11.855839933309531</v>
      </c>
    </row>
    <row r="26" spans="1:6">
      <c r="A26" s="57">
        <v>2017</v>
      </c>
      <c r="B26" s="48">
        <v>34041.823482311593</v>
      </c>
      <c r="C26" s="48">
        <v>277379.10831067228</v>
      </c>
      <c r="D26" s="49">
        <v>12.272670313794436</v>
      </c>
    </row>
    <row r="27" spans="1:6">
      <c r="A27" s="57">
        <v>2018</v>
      </c>
      <c r="B27" s="48">
        <v>34110.911240511574</v>
      </c>
      <c r="C27" s="48">
        <v>289586.73150372063</v>
      </c>
      <c r="D27" s="49">
        <v>11.779169253848675</v>
      </c>
    </row>
    <row r="28" spans="1:6">
      <c r="A28" s="57">
        <v>2019</v>
      </c>
      <c r="B28" s="48">
        <v>34619.748358263721</v>
      </c>
      <c r="C28" s="48">
        <v>282669.49695353978</v>
      </c>
      <c r="D28" s="49">
        <v>12.247429854079341</v>
      </c>
    </row>
    <row r="29" spans="1:6">
      <c r="A29" s="51">
        <v>2020</v>
      </c>
      <c r="B29" s="48">
        <v>28215.286421661629</v>
      </c>
      <c r="C29" s="48">
        <v>227344.66267409135</v>
      </c>
      <c r="D29" s="49">
        <v>12.410797812354843</v>
      </c>
    </row>
    <row r="30" spans="1:6">
      <c r="A30" s="51">
        <v>2021</v>
      </c>
      <c r="B30" s="48">
        <v>33847.015206203112</v>
      </c>
      <c r="C30" s="48">
        <v>280328.79800906545</v>
      </c>
      <c r="D30" s="49">
        <v>12.074041427990764</v>
      </c>
    </row>
    <row r="31" spans="1:6">
      <c r="A31" s="51">
        <v>2022</v>
      </c>
      <c r="B31" s="48">
        <v>36419.45219572213</v>
      </c>
      <c r="C31" s="48">
        <v>329359.17609245755</v>
      </c>
      <c r="D31" s="49">
        <v>11.057670421636736</v>
      </c>
    </row>
    <row r="32" spans="1:6">
      <c r="A32" s="51">
        <v>2023</v>
      </c>
      <c r="B32" s="48">
        <v>36475.534208166027</v>
      </c>
      <c r="C32" s="48">
        <v>418991.6463862292</v>
      </c>
      <c r="D32" s="49">
        <v>8.7055516554481969</v>
      </c>
      <c r="F32" s="53"/>
    </row>
    <row r="33" spans="1:11">
      <c r="A33" s="51">
        <v>2024</v>
      </c>
      <c r="B33" s="48">
        <v>37934.702450024553</v>
      </c>
      <c r="C33" s="48">
        <v>435349.07886939426</v>
      </c>
      <c r="D33" s="49">
        <v>8.7136287386989171</v>
      </c>
      <c r="F33" s="59"/>
    </row>
    <row r="34" spans="1:11">
      <c r="A34" s="58">
        <v>2025</v>
      </c>
      <c r="B34" s="50">
        <v>40870.76932803377</v>
      </c>
      <c r="C34" s="50">
        <v>420755.81887394178</v>
      </c>
      <c r="D34" s="60">
        <v>9.9159608665907353</v>
      </c>
      <c r="F34" s="59"/>
    </row>
    <row r="35" spans="1:11">
      <c r="A35" s="51"/>
      <c r="B35" s="52"/>
      <c r="C35" s="52"/>
      <c r="D35" s="53"/>
    </row>
    <row r="36" spans="1:11">
      <c r="A36" s="41" t="s">
        <v>12</v>
      </c>
      <c r="B36" s="2"/>
      <c r="C36" s="2"/>
    </row>
    <row r="37" spans="1:11">
      <c r="A37" s="41" t="s">
        <v>13</v>
      </c>
    </row>
    <row r="38" spans="1:11" ht="63.75" customHeight="1">
      <c r="A38" s="75" t="s">
        <v>17</v>
      </c>
      <c r="B38" s="75"/>
      <c r="C38" s="75"/>
      <c r="D38" s="75"/>
      <c r="E38" s="75"/>
      <c r="F38" s="75"/>
      <c r="G38" s="75"/>
      <c r="H38" s="75"/>
      <c r="I38" s="75"/>
      <c r="J38" s="75"/>
      <c r="K38" s="75"/>
    </row>
    <row r="39" spans="1:11">
      <c r="A39" s="42"/>
      <c r="B39" s="51"/>
      <c r="C39" s="51"/>
    </row>
    <row r="40" spans="1:11">
      <c r="A40" s="54"/>
      <c r="B40" s="2"/>
      <c r="C40" s="2"/>
    </row>
  </sheetData>
  <mergeCells count="4">
    <mergeCell ref="A6:A7"/>
    <mergeCell ref="B7:C7"/>
    <mergeCell ref="A1:XFD3"/>
    <mergeCell ref="A38:K38"/>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62C68-BFFF-45D5-A77D-FEEE04CC812E}">
  <dimension ref="A1:I73"/>
  <sheetViews>
    <sheetView showGridLines="0" zoomScaleNormal="100" workbookViewId="0">
      <selection activeCell="I34" sqref="I34"/>
    </sheetView>
  </sheetViews>
  <sheetFormatPr defaultColWidth="0" defaultRowHeight="12" customHeight="1" zeroHeight="1"/>
  <cols>
    <col min="1" max="9" width="11.42578125" customWidth="1"/>
    <col min="10" max="11" width="11.42578125" hidden="1" customWidth="1"/>
    <col min="12" max="16384" width="11.42578125" hidden="1"/>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ht="12" customHeight="1"/>
    <row r="61" ht="12" customHeight="1"/>
    <row r="62" ht="12" customHeight="1"/>
    <row r="63" ht="12" customHeight="1"/>
    <row r="64" ht="12" customHeight="1"/>
    <row r="65" ht="12" customHeight="1"/>
    <row r="66" ht="12" customHeight="1"/>
    <row r="67" ht="12" customHeight="1"/>
    <row r="68" ht="12" customHeight="1"/>
    <row r="69" ht="12" customHeight="1"/>
    <row r="70" ht="12" customHeight="1"/>
    <row r="71" ht="12" customHeight="1"/>
    <row r="72" ht="12" customHeight="1"/>
    <row r="73" ht="12" customHeight="1"/>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Selene Yaret Zarzosa Piza</dc:creator>
  <cp:keywords/>
  <dc:description/>
  <cp:lastModifiedBy>X</cp:lastModifiedBy>
  <cp:revision/>
  <dcterms:created xsi:type="dcterms:W3CDTF">2023-10-03T14:55:06Z</dcterms:created>
  <dcterms:modified xsi:type="dcterms:W3CDTF">2026-05-19T21:11:18Z</dcterms:modified>
  <cp:category/>
  <cp:contentStatus/>
</cp:coreProperties>
</file>